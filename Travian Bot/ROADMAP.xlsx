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'Backlog'!$A$1:$K$93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2"/>
    </font>
    <font>
      <name val="Arial"/>
      <b val="1"/>
    </font>
    <font>
      <name val="Arial"/>
      <b val="1"/>
      <sz val="14"/>
    </font>
    <font>
      <name val="Arial"/>
      <b val="1"/>
      <color rgb="001F4E78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1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6" customWidth="1" min="4" max="4"/>
    <col width="60" customWidth="1" min="5" max="5"/>
    <col width="14" customWidth="1" min="6" max="6"/>
    <col width="11" customWidth="1" min="7" max="7"/>
    <col width="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ID</t>
        </is>
      </c>
      <c r="B1" s="1" t="inlineStr">
        <is>
          <t>Phase / Tier</t>
        </is>
      </c>
      <c r="C1" s="1" t="inlineStr">
        <is>
          <t>Category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Effort</t>
        </is>
      </c>
      <c r="I1" s="1" t="inlineStr">
        <is>
          <t>Inspired By</t>
        </is>
      </c>
      <c r="J1" s="1" t="inlineStr">
        <is>
          <t>Dependencies</t>
        </is>
      </c>
      <c r="K1" s="1" t="inlineStr">
        <is>
          <t>Notes</t>
        </is>
      </c>
    </row>
    <row r="2" ht="36" customHeight="1">
      <c r="A2" s="2" t="inlineStr">
        <is>
          <t>P0.1</t>
        </is>
      </c>
      <c r="B2" s="2" t="inlineStr">
        <is>
          <t>Phase 0</t>
        </is>
      </c>
      <c r="C2" s="2" t="inlineStr">
        <is>
          <t>Infra</t>
        </is>
      </c>
      <c r="D2" s="3" t="inlineStr">
        <is>
          <t>Fix docker-compose.yml</t>
        </is>
      </c>
      <c r="E2" s="3" t="inlineStr">
        <is>
          <t>Broken volume mount + blank port entry — make Postgres persist cleanly.</t>
        </is>
      </c>
      <c r="F2" s="4" t="inlineStr">
        <is>
          <t>Done</t>
        </is>
      </c>
      <c r="G2" s="5" t="inlineStr">
        <is>
          <t>Critical</t>
        </is>
      </c>
      <c r="H2" s="2" t="inlineStr">
        <is>
          <t>S</t>
        </is>
      </c>
      <c r="I2" s="2" t="inlineStr">
        <is>
          <t>Custom</t>
        </is>
      </c>
      <c r="J2" s="2" t="inlineStr"/>
      <c r="K2" s="3" t="inlineStr"/>
    </row>
    <row r="3" ht="36" customHeight="1">
      <c r="A3" s="2" t="inlineStr">
        <is>
          <t>P0.2</t>
        </is>
      </c>
      <c r="B3" s="2" t="inlineStr">
        <is>
          <t>Phase 0</t>
        </is>
      </c>
      <c r="C3" s="2" t="inlineStr">
        <is>
          <t>Infra</t>
        </is>
      </c>
      <c r="D3" s="3" t="inlineStr">
        <is>
          <t>Flyway dep + config</t>
        </is>
      </c>
      <c r="E3" s="3" t="inlineStr">
        <is>
          <t>Add flyway-core / flyway-database-postgresql, baseline-on-migrate=true.</t>
        </is>
      </c>
      <c r="F3" s="4" t="inlineStr">
        <is>
          <t>Done</t>
        </is>
      </c>
      <c r="G3" s="6" t="inlineStr">
        <is>
          <t>High</t>
        </is>
      </c>
      <c r="H3" s="2" t="inlineStr">
        <is>
          <t>S</t>
        </is>
      </c>
      <c r="I3" s="2" t="inlineStr">
        <is>
          <t>Custom</t>
        </is>
      </c>
      <c r="J3" s="2" t="inlineStr"/>
      <c r="K3" s="3" t="inlineStr">
        <is>
          <t>V1__init.sql still TBD</t>
        </is>
      </c>
    </row>
    <row r="4" ht="36" customHeight="1">
      <c r="A4" s="2" t="inlineStr">
        <is>
          <t>P0.3</t>
        </is>
      </c>
      <c r="B4" s="2" t="inlineStr">
        <is>
          <t>Phase 0</t>
        </is>
      </c>
      <c r="C4" s="2" t="inlineStr">
        <is>
          <t>Infra</t>
        </is>
      </c>
      <c r="D4" s="3" t="inlineStr">
        <is>
          <t>ddl-auto → validate</t>
        </is>
      </c>
      <c r="E4" s="3" t="inlineStr">
        <is>
          <t>Switch Hibernate to validate once V1 baseline captured.</t>
        </is>
      </c>
      <c r="F4" s="7" t="inlineStr">
        <is>
          <t>Deferred</t>
        </is>
      </c>
      <c r="G4" s="6" t="inlineStr">
        <is>
          <t>High</t>
        </is>
      </c>
      <c r="H4" s="2" t="inlineStr">
        <is>
          <t>S</t>
        </is>
      </c>
      <c r="I4" s="2" t="inlineStr">
        <is>
          <t>Custom</t>
        </is>
      </c>
      <c r="J4" s="2" t="inlineStr">
        <is>
          <t>P0.2,TEST4</t>
        </is>
      </c>
      <c r="K4" s="3" t="inlineStr">
        <is>
          <t>Blocked on V1 dump</t>
        </is>
      </c>
    </row>
    <row r="5" ht="36" customHeight="1">
      <c r="A5" s="2" t="inlineStr">
        <is>
          <t>P0.4</t>
        </is>
      </c>
      <c r="B5" s="2" t="inlineStr">
        <is>
          <t>Phase 0</t>
        </is>
      </c>
      <c r="C5" s="2" t="inlineStr">
        <is>
          <t>Testing</t>
        </is>
      </c>
      <c r="D5" s="3" t="inlineStr">
        <is>
          <t>Testcontainers + sanity ITs</t>
        </is>
      </c>
      <c r="E5" s="3" t="inlineStr">
        <is>
          <t>AbstractIntegrationTest + HealthControllerIT + AccountRepositoryIT.</t>
        </is>
      </c>
      <c r="F5" s="4" t="inlineStr">
        <is>
          <t>Done</t>
        </is>
      </c>
      <c r="G5" s="6" t="inlineStr">
        <is>
          <t>High</t>
        </is>
      </c>
      <c r="H5" s="2" t="inlineStr">
        <is>
          <t>M</t>
        </is>
      </c>
      <c r="I5" s="2" t="inlineStr">
        <is>
          <t>Custom</t>
        </is>
      </c>
      <c r="J5" s="2" t="inlineStr"/>
      <c r="K5" s="3" t="inlineStr"/>
    </row>
    <row r="6" ht="36" customHeight="1">
      <c r="A6" s="2" t="inlineStr">
        <is>
          <t>P0.5</t>
        </is>
      </c>
      <c r="B6" s="2" t="inlineStr">
        <is>
          <t>Phase 0</t>
        </is>
      </c>
      <c r="C6" s="2" t="inlineStr">
        <is>
          <t>Infra</t>
        </is>
      </c>
      <c r="D6" s="3" t="inlineStr">
        <is>
          <t>GitHub Actions CI</t>
        </is>
      </c>
      <c r="E6" s="3" t="inlineStr">
        <is>
          <t>mvn verify + npm build on push / PR.</t>
        </is>
      </c>
      <c r="F6" s="4" t="inlineStr">
        <is>
          <t>Done</t>
        </is>
      </c>
      <c r="G6" s="6" t="inlineStr">
        <is>
          <t>High</t>
        </is>
      </c>
      <c r="H6" s="2" t="inlineStr">
        <is>
          <t>S</t>
        </is>
      </c>
      <c r="I6" s="2" t="inlineStr">
        <is>
          <t>Custom</t>
        </is>
      </c>
      <c r="J6" s="2" t="inlineStr">
        <is>
          <t>P0.4</t>
        </is>
      </c>
      <c r="K6" s="3" t="inlineStr"/>
    </row>
    <row r="7" ht="36" customHeight="1">
      <c r="A7" s="2" t="inlineStr">
        <is>
          <t>P0.6</t>
        </is>
      </c>
      <c r="B7" s="2" t="inlineStr">
        <is>
          <t>Phase 0</t>
        </is>
      </c>
      <c r="C7" s="2" t="inlineStr">
        <is>
          <t>Docs</t>
        </is>
      </c>
      <c r="D7" s="3" t="inlineStr">
        <is>
          <t>Sync README with 13 modules</t>
        </is>
      </c>
      <c r="E7" s="3" t="inlineStr">
        <is>
          <t>README listed only auth/health/bot — refresh to reality.</t>
        </is>
      </c>
      <c r="F7" s="4" t="inlineStr">
        <is>
          <t>Done</t>
        </is>
      </c>
      <c r="G7" s="8" t="inlineStr">
        <is>
          <t>Medium</t>
        </is>
      </c>
      <c r="H7" s="2" t="inlineStr">
        <is>
          <t>S</t>
        </is>
      </c>
      <c r="I7" s="2" t="inlineStr">
        <is>
          <t>Custom</t>
        </is>
      </c>
      <c r="J7" s="2" t="inlineStr"/>
      <c r="K7" s="3" t="inlineStr"/>
    </row>
    <row r="8" ht="36" customHeight="1">
      <c r="A8" s="2" t="inlineStr">
        <is>
          <t>P0.7</t>
        </is>
      </c>
      <c r="B8" s="2" t="inlineStr">
        <is>
          <t>Phase 0</t>
        </is>
      </c>
      <c r="C8" s="2" t="inlineStr">
        <is>
          <t>Infra</t>
        </is>
      </c>
      <c r="D8" s="3" t="inlineStr">
        <is>
          <t>Port consolidation 5185/8185/5485</t>
        </is>
      </c>
      <c r="E8" s="3" t="inlineStr">
        <is>
          <t>All app ports end in -185 to avoid collision with other local apps.</t>
        </is>
      </c>
      <c r="F8" s="4" t="inlineStr">
        <is>
          <t>Done</t>
        </is>
      </c>
      <c r="G8" s="9" t="inlineStr">
        <is>
          <t>Low</t>
        </is>
      </c>
      <c r="H8" s="2" t="inlineStr">
        <is>
          <t>S</t>
        </is>
      </c>
      <c r="I8" s="2" t="inlineStr">
        <is>
          <t>Custom</t>
        </is>
      </c>
      <c r="J8" s="2" t="inlineStr"/>
      <c r="K8" s="3" t="inlineStr"/>
    </row>
    <row r="9" ht="36" customHeight="1">
      <c r="A9" s="2" t="inlineStr">
        <is>
          <t>P1.1</t>
        </is>
      </c>
      <c r="B9" s="2" t="inlineStr">
        <is>
          <t>Phase 1</t>
        </is>
      </c>
      <c r="C9" s="2" t="inlineStr">
        <is>
          <t>Bot Core</t>
        </is>
      </c>
      <c r="D9" s="3" t="inlineStr">
        <is>
          <t>BrowserTravianClient stable login</t>
        </is>
      </c>
      <c r="E9" s="3" t="inlineStr">
        <is>
          <t>Tolerant selectors + humanType, retry, captcha-aware fallback.</t>
        </is>
      </c>
      <c r="F9" s="4" t="inlineStr">
        <is>
          <t>Done</t>
        </is>
      </c>
      <c r="G9" s="5" t="inlineStr">
        <is>
          <t>Critical</t>
        </is>
      </c>
      <c r="H9" s="2" t="inlineStr">
        <is>
          <t>L</t>
        </is>
      </c>
      <c r="I9" s="2" t="inlineStr">
        <is>
          <t>TravBotSharp</t>
        </is>
      </c>
      <c r="J9" s="2" t="inlineStr"/>
      <c r="K9" s="3" t="inlineStr"/>
    </row>
    <row r="10" ht="36" customHeight="1">
      <c r="A10" s="2" t="inlineStr">
        <is>
          <t>P1.2</t>
        </is>
      </c>
      <c r="B10" s="2" t="inlineStr">
        <is>
          <t>Phase 1</t>
        </is>
      </c>
      <c r="C10" s="2" t="inlineStr">
        <is>
          <t>Bot Core</t>
        </is>
      </c>
      <c r="D10" s="3" t="inlineStr">
        <is>
          <t>Village scraping scheduler</t>
        </is>
      </c>
      <c r="E10" s="3" t="inlineStr">
        <is>
          <t>VillageScrapeScheduler refreshes resources/buildings on cadence.</t>
        </is>
      </c>
      <c r="F10" s="4" t="inlineStr">
        <is>
          <t>Done</t>
        </is>
      </c>
      <c r="G10" s="5" t="inlineStr">
        <is>
          <t>Critical</t>
        </is>
      </c>
      <c r="H10" s="2" t="inlineStr">
        <is>
          <t>M</t>
        </is>
      </c>
      <c r="I10" s="2" t="inlineStr">
        <is>
          <t>TravBotSharp</t>
        </is>
      </c>
      <c r="J10" s="2" t="inlineStr">
        <is>
          <t>P1.1</t>
        </is>
      </c>
      <c r="K10" s="3" t="inlineStr"/>
    </row>
    <row r="11" ht="36" customHeight="1">
      <c r="A11" s="2" t="inlineStr">
        <is>
          <t>P1.3</t>
        </is>
      </c>
      <c r="B11" s="2" t="inlineStr">
        <is>
          <t>Phase 1</t>
        </is>
      </c>
      <c r="C11" s="2" t="inlineStr">
        <is>
          <t>Bot Core</t>
        </is>
      </c>
      <c r="D11" s="3" t="inlineStr">
        <is>
          <t>Build queue executor</t>
        </is>
      </c>
      <c r="E11" s="3" t="inlineStr">
        <is>
          <t>BuildQueueScheduler picks next pending item, clicks upgrade.</t>
        </is>
      </c>
      <c r="F11" s="4" t="inlineStr">
        <is>
          <t>Done</t>
        </is>
      </c>
      <c r="G11" s="5" t="inlineStr">
        <is>
          <t>Critical</t>
        </is>
      </c>
      <c r="H11" s="2" t="inlineStr">
        <is>
          <t>L</t>
        </is>
      </c>
      <c r="I11" s="2" t="inlineStr">
        <is>
          <t>TravBotSharp</t>
        </is>
      </c>
      <c r="J11" s="2" t="inlineStr">
        <is>
          <t>P1.2</t>
        </is>
      </c>
      <c r="K11" s="3" t="inlineStr"/>
    </row>
    <row r="12" ht="36" customHeight="1">
      <c r="A12" s="2" t="inlineStr">
        <is>
          <t>P1.4</t>
        </is>
      </c>
      <c r="B12" s="2" t="inlineStr">
        <is>
          <t>Phase 1</t>
        </is>
      </c>
      <c r="C12" s="2" t="inlineStr">
        <is>
          <t>Bot Core</t>
        </is>
      </c>
      <c r="D12" s="3" t="inlineStr">
        <is>
          <t>NPC trade automation</t>
        </is>
      </c>
      <c r="E12" s="3" t="inlineStr">
        <is>
          <t>Marketplace gid=17 NPC redistribute, gated on Plus/gold.</t>
        </is>
      </c>
      <c r="F12" s="4" t="inlineStr">
        <is>
          <t>Done</t>
        </is>
      </c>
      <c r="G12" s="6" t="inlineStr">
        <is>
          <t>High</t>
        </is>
      </c>
      <c r="H12" s="2" t="inlineStr">
        <is>
          <t>M</t>
        </is>
      </c>
      <c r="I12" s="2" t="inlineStr">
        <is>
          <t>TravBotSharp</t>
        </is>
      </c>
      <c r="J12" s="2" t="inlineStr">
        <is>
          <t>P1.1</t>
        </is>
      </c>
      <c r="K12" s="3" t="inlineStr"/>
    </row>
    <row r="13" ht="36" customHeight="1">
      <c r="A13" s="2" t="inlineStr">
        <is>
          <t>P1.5</t>
        </is>
      </c>
      <c r="B13" s="2" t="inlineStr">
        <is>
          <t>Phase 1</t>
        </is>
      </c>
      <c r="C13" s="2" t="inlineStr">
        <is>
          <t>Bot Core</t>
        </is>
      </c>
      <c r="D13" s="3" t="inlineStr">
        <is>
          <t>Farmlist runner</t>
        </is>
      </c>
      <c r="E13" s="3" t="inlineStr">
        <is>
          <t>FarmlistSendScheduler + sendFarmlist clicks startFarmListRaid.</t>
        </is>
      </c>
      <c r="F13" s="4" t="inlineStr">
        <is>
          <t>Done</t>
        </is>
      </c>
      <c r="G13" s="5" t="inlineStr">
        <is>
          <t>Critical</t>
        </is>
      </c>
      <c r="H13" s="2" t="inlineStr">
        <is>
          <t>M</t>
        </is>
      </c>
      <c r="I13" s="2" t="inlineStr">
        <is>
          <t>TravBotSharp</t>
        </is>
      </c>
      <c r="J13" s="2" t="inlineStr">
        <is>
          <t>P1.1</t>
        </is>
      </c>
      <c r="K13" s="3" t="inlineStr"/>
    </row>
    <row r="14" ht="36" customHeight="1">
      <c r="A14" s="2" t="inlineStr">
        <is>
          <t>P1.6</t>
        </is>
      </c>
      <c r="B14" s="2" t="inlineStr">
        <is>
          <t>Phase 1</t>
        </is>
      </c>
      <c r="C14" s="2" t="inlineStr">
        <is>
          <t>Bot Core</t>
        </is>
      </c>
      <c r="D14" s="3" t="inlineStr">
        <is>
          <t>Hero attribute spend</t>
        </is>
      </c>
      <c r="E14" s="3" t="inlineStr">
        <is>
          <t>Auto-allocate unspent points into configured attribute.</t>
        </is>
      </c>
      <c r="F14" s="4" t="inlineStr">
        <is>
          <t>Done</t>
        </is>
      </c>
      <c r="G14" s="6" t="inlineStr">
        <is>
          <t>High</t>
        </is>
      </c>
      <c r="H14" s="2" t="inlineStr">
        <is>
          <t>M</t>
        </is>
      </c>
      <c r="I14" s="2" t="inlineStr">
        <is>
          <t>TravBotSharp</t>
        </is>
      </c>
      <c r="J14" s="2" t="inlineStr">
        <is>
          <t>P1.1</t>
        </is>
      </c>
      <c r="K14" s="3" t="inlineStr"/>
    </row>
    <row r="15" ht="36" customHeight="1">
      <c r="A15" s="2" t="inlineStr">
        <is>
          <t>P1.7</t>
        </is>
      </c>
      <c r="B15" s="2" t="inlineStr">
        <is>
          <t>Phase 1</t>
        </is>
      </c>
      <c r="C15" s="2" t="inlineStr">
        <is>
          <t>Bot Core</t>
        </is>
      </c>
      <c r="D15" s="3" t="inlineStr">
        <is>
          <t>Auto re-login on 302</t>
        </is>
      </c>
      <c r="E15" s="3" t="inlineStr">
        <is>
          <t>Wrap NotLoggedInException, trigger login(), retry once.</t>
        </is>
      </c>
      <c r="F15" s="10" t="inlineStr">
        <is>
          <t>Done</t>
        </is>
      </c>
      <c r="G15" s="6" t="inlineStr">
        <is>
          <t>High</t>
        </is>
      </c>
      <c r="H15" s="2" t="inlineStr">
        <is>
          <t>S</t>
        </is>
      </c>
      <c r="I15" s="2" t="inlineStr">
        <is>
          <t>TravBotSharp</t>
        </is>
      </c>
      <c r="J15" s="2" t="inlineStr">
        <is>
          <t>P1.1</t>
        </is>
      </c>
      <c r="K15" s="3" t="inlineStr">
        <is>
          <t>Auto re-login: SessionRecoveryService, opt-in toggle, 10-min cooldown (2026-07-05)</t>
        </is>
      </c>
    </row>
    <row r="16" ht="36" customHeight="1">
      <c r="A16" s="2" t="inlineStr">
        <is>
          <t>P1.8</t>
        </is>
      </c>
      <c r="B16" s="2" t="inlineStr">
        <is>
          <t>Phase 1</t>
        </is>
      </c>
      <c r="C16" s="2" t="inlineStr">
        <is>
          <t>Bot Core</t>
        </is>
      </c>
      <c r="D16" s="3" t="inlineStr">
        <is>
          <t>Hero adventure auto-runner</t>
        </is>
      </c>
      <c r="E16" s="3" t="inlineStr">
        <is>
          <t>Pick safest adventure, send hero, track HP.</t>
        </is>
      </c>
      <c r="F16" s="10" t="inlineStr">
        <is>
          <t>Not Started</t>
        </is>
      </c>
      <c r="G16" s="8" t="inlineStr">
        <is>
          <t>Medium</t>
        </is>
      </c>
      <c r="H16" s="2" t="inlineStr">
        <is>
          <t>M</t>
        </is>
      </c>
      <c r="I16" s="2" t="inlineStr">
        <is>
          <t>TravBotSharp</t>
        </is>
      </c>
      <c r="J16" s="2" t="inlineStr">
        <is>
          <t>P1.6</t>
        </is>
      </c>
      <c r="K16" s="3" t="inlineStr"/>
    </row>
    <row r="17" ht="36" customHeight="1">
      <c r="A17" s="2" t="inlineStr">
        <is>
          <t>P1.9</t>
        </is>
      </c>
      <c r="B17" s="2" t="inlineStr">
        <is>
          <t>Phase 1</t>
        </is>
      </c>
      <c r="C17" s="2" t="inlineStr">
        <is>
          <t>Bot Core</t>
        </is>
      </c>
      <c r="D17" s="3" t="inlineStr">
        <is>
          <t>Resource overflow alert</t>
        </is>
      </c>
      <c r="E17" s="3" t="inlineStr">
        <is>
          <t>Warehouse &gt; 95% → BotEvent + (later) notification.</t>
        </is>
      </c>
      <c r="F17" s="10" t="inlineStr">
        <is>
          <t>Done</t>
        </is>
      </c>
      <c r="G17" s="8" t="inlineStr">
        <is>
          <t>Medium</t>
        </is>
      </c>
      <c r="H17" s="2" t="inlineStr">
        <is>
          <t>S</t>
        </is>
      </c>
      <c r="I17" s="2" t="inlineStr">
        <is>
          <t>Custom</t>
        </is>
      </c>
      <c r="J17" s="2" t="inlineStr">
        <is>
          <t>P1.2,NOT1</t>
        </is>
      </c>
      <c r="K17" s="3" t="inlineStr">
        <is>
          <t>ResourceOverflowMonitor &gt;=95%, BotEvent WARN + Discord toggle (2026-07-05)</t>
        </is>
      </c>
    </row>
    <row r="18" ht="36" customHeight="1">
      <c r="A18" s="2" t="inlineStr">
        <is>
          <t>P1.10</t>
        </is>
      </c>
      <c r="B18" s="2" t="inlineStr">
        <is>
          <t>Phase 1</t>
        </is>
      </c>
      <c r="C18" s="2" t="inlineStr">
        <is>
          <t>Bot Core</t>
        </is>
      </c>
      <c r="D18" s="3" t="inlineStr">
        <is>
          <t>Master-builder (gold) protection</t>
        </is>
      </c>
      <c r="E18" s="3" t="inlineStr">
        <is>
          <t>Refuse to click gold-only upgrade button when queue full.</t>
        </is>
      </c>
      <c r="F18" s="4" t="inlineStr">
        <is>
          <t>Done</t>
        </is>
      </c>
      <c r="G18" s="6" t="inlineStr">
        <is>
          <t>High</t>
        </is>
      </c>
      <c r="H18" s="2" t="inlineStr">
        <is>
          <t>S</t>
        </is>
      </c>
      <c r="I18" s="2" t="inlineStr">
        <is>
          <t>Custom</t>
        </is>
      </c>
      <c r="J18" s="2" t="inlineStr">
        <is>
          <t>P1.3</t>
        </is>
      </c>
      <c r="K18" s="3" t="inlineStr"/>
    </row>
    <row r="19" ht="36" customHeight="1">
      <c r="A19" s="2" t="inlineStr">
        <is>
          <t>P1.11</t>
        </is>
      </c>
      <c r="B19" s="2" t="inlineStr">
        <is>
          <t>Phase 1</t>
        </is>
      </c>
      <c r="C19" s="2" t="inlineStr">
        <is>
          <t>Bot Core</t>
        </is>
      </c>
      <c r="D19" s="3" t="inlineStr">
        <is>
          <t>Server time / Plus / UTC offset scrape</t>
        </is>
      </c>
      <c r="E19" s="3" t="inlineStr">
        <is>
          <t>Persist offset + Plus status on every dorf1 scrape.</t>
        </is>
      </c>
      <c r="F19" s="4" t="inlineStr">
        <is>
          <t>Done</t>
        </is>
      </c>
      <c r="G19" s="8" t="inlineStr">
        <is>
          <t>Medium</t>
        </is>
      </c>
      <c r="H19" s="2" t="inlineStr">
        <is>
          <t>S</t>
        </is>
      </c>
      <c r="I19" s="2" t="inlineStr">
        <is>
          <t>Custom</t>
        </is>
      </c>
      <c r="J19" s="2" t="inlineStr">
        <is>
          <t>P1.2</t>
        </is>
      </c>
      <c r="K19" s="3" t="inlineStr"/>
    </row>
    <row r="20" ht="36" customHeight="1">
      <c r="A20" s="2" t="inlineStr">
        <is>
          <t>P1.12</t>
        </is>
      </c>
      <c r="B20" s="2" t="inlineStr">
        <is>
          <t>Phase 1</t>
        </is>
      </c>
      <c r="C20" s="2" t="inlineStr">
        <is>
          <t>Bot Core</t>
        </is>
      </c>
      <c r="D20" s="3" t="inlineStr">
        <is>
          <t>Sidebar village auto-discovery</t>
        </is>
      </c>
      <c r="E20" s="3" t="inlineStr">
        <is>
          <t>Parse sidebar list to upsert villages without manual config.</t>
        </is>
      </c>
      <c r="F20" s="4" t="inlineStr">
        <is>
          <t>Done</t>
        </is>
      </c>
      <c r="G20" s="8" t="inlineStr">
        <is>
          <t>Medium</t>
        </is>
      </c>
      <c r="H20" s="2" t="inlineStr">
        <is>
          <t>S</t>
        </is>
      </c>
      <c r="I20" s="2" t="inlineStr">
        <is>
          <t>Custom</t>
        </is>
      </c>
      <c r="J20" s="2" t="inlineStr">
        <is>
          <t>P1.2</t>
        </is>
      </c>
      <c r="K20" s="3" t="inlineStr"/>
    </row>
    <row r="21" ht="36" customHeight="1">
      <c r="A21" s="2" t="inlineStr">
        <is>
          <t>P1.13</t>
        </is>
      </c>
      <c r="B21" s="2" t="inlineStr">
        <is>
          <t>Phase 1</t>
        </is>
      </c>
      <c r="C21" s="2" t="inlineStr">
        <is>
          <t>Bot Core</t>
        </is>
      </c>
      <c r="D21" s="3" t="inlineStr">
        <is>
          <t>In-game build queue parsing</t>
        </is>
      </c>
      <c r="E21" s="3" t="inlineStr">
        <is>
          <t>Read finish-at timestamps from #buildingList sidebar.</t>
        </is>
      </c>
      <c r="F21" s="4" t="inlineStr">
        <is>
          <t>Done</t>
        </is>
      </c>
      <c r="G21" s="8" t="inlineStr">
        <is>
          <t>Medium</t>
        </is>
      </c>
      <c r="H21" s="2" t="inlineStr">
        <is>
          <t>S</t>
        </is>
      </c>
      <c r="I21" s="2" t="inlineStr">
        <is>
          <t>Custom</t>
        </is>
      </c>
      <c r="J21" s="2" t="inlineStr">
        <is>
          <t>P1.2</t>
        </is>
      </c>
      <c r="K21" s="3" t="inlineStr"/>
    </row>
    <row r="22" ht="36" customHeight="1">
      <c r="A22" s="2" t="inlineStr">
        <is>
          <t>P1.14</t>
        </is>
      </c>
      <c r="B22" s="2" t="inlineStr">
        <is>
          <t>Phase 1</t>
        </is>
      </c>
      <c r="C22" s="2" t="inlineStr">
        <is>
          <t>Bot Core</t>
        </is>
      </c>
      <c r="D22" s="3" t="inlineStr">
        <is>
          <t>Queue reconciliation RUNNING/DONE</t>
        </is>
      </c>
      <c r="E22" s="3" t="inlineStr">
        <is>
          <t>Match scraped page state to local queue rows.</t>
        </is>
      </c>
      <c r="F22" s="4" t="inlineStr">
        <is>
          <t>Done</t>
        </is>
      </c>
      <c r="G22" s="6" t="inlineStr">
        <is>
          <t>High</t>
        </is>
      </c>
      <c r="H22" s="2" t="inlineStr">
        <is>
          <t>S</t>
        </is>
      </c>
      <c r="I22" s="2" t="inlineStr">
        <is>
          <t>Custom</t>
        </is>
      </c>
      <c r="J22" s="2" t="inlineStr">
        <is>
          <t>P1.13</t>
        </is>
      </c>
      <c r="K22" s="3" t="inlineStr"/>
    </row>
    <row r="23" ht="36" customHeight="1">
      <c r="A23" s="2" t="inlineStr">
        <is>
          <t>P2.1</t>
        </is>
      </c>
      <c r="B23" s="2" t="inlineStr">
        <is>
          <t>Phase 2</t>
        </is>
      </c>
      <c r="C23" s="2" t="inlineStr">
        <is>
          <t>Safety</t>
        </is>
      </c>
      <c r="D23" s="3" t="inlineStr">
        <is>
          <t>HumanDelay range</t>
        </is>
      </c>
      <c r="E23" s="3" t="inlineStr">
        <is>
          <t>Pre-action random delay from configurable min/max.</t>
        </is>
      </c>
      <c r="F23" s="4" t="inlineStr">
        <is>
          <t>Done</t>
        </is>
      </c>
      <c r="G23" s="5" t="inlineStr">
        <is>
          <t>Critical</t>
        </is>
      </c>
      <c r="H23" s="2" t="inlineStr">
        <is>
          <t>S</t>
        </is>
      </c>
      <c r="I23" s="2" t="inlineStr">
        <is>
          <t>Custom</t>
        </is>
      </c>
      <c r="J23" s="2" t="inlineStr"/>
      <c r="K23" s="3" t="inlineStr"/>
    </row>
    <row r="24" ht="36" customHeight="1">
      <c r="A24" s="2" t="inlineStr">
        <is>
          <t>P2.2</t>
        </is>
      </c>
      <c r="B24" s="2" t="inlineStr">
        <is>
          <t>Phase 2</t>
        </is>
      </c>
      <c r="C24" s="2" t="inlineStr">
        <is>
          <t>Safety</t>
        </is>
      </c>
      <c r="D24" s="3" t="inlineStr">
        <is>
          <t>humanType per-key with stalls</t>
        </is>
      </c>
      <c r="E24" s="3" t="inlineStr">
        <is>
          <t>Per-char keypress with 60–180 ms cadence + 6% thinking stalls.</t>
        </is>
      </c>
      <c r="F24" s="4" t="inlineStr">
        <is>
          <t>Done</t>
        </is>
      </c>
      <c r="G24" s="5" t="inlineStr">
        <is>
          <t>Critical</t>
        </is>
      </c>
      <c r="H24" s="2" t="inlineStr">
        <is>
          <t>S</t>
        </is>
      </c>
      <c r="I24" s="2" t="inlineStr">
        <is>
          <t>Custom</t>
        </is>
      </c>
      <c r="J24" s="2" t="inlineStr"/>
      <c r="K24" s="3" t="inlineStr"/>
    </row>
    <row r="25" ht="36" customHeight="1">
      <c r="A25" s="2" t="inlineStr">
        <is>
          <t>P2.3</t>
        </is>
      </c>
      <c r="B25" s="2" t="inlineStr">
        <is>
          <t>Phase 2</t>
        </is>
      </c>
      <c r="C25" s="2" t="inlineStr">
        <is>
          <t>Safety</t>
        </is>
      </c>
      <c r="D25" s="3" t="inlineStr">
        <is>
          <t>Click-or-navigate human nav</t>
        </is>
      </c>
      <c r="E25" s="3" t="inlineStr">
        <is>
          <t>Prefer clicking &lt;a&gt; instead of editing address bar.</t>
        </is>
      </c>
      <c r="F25" s="4" t="inlineStr">
        <is>
          <t>Done</t>
        </is>
      </c>
      <c r="G25" s="8" t="inlineStr">
        <is>
          <t>Medium</t>
        </is>
      </c>
      <c r="H25" s="2" t="inlineStr">
        <is>
          <t>S</t>
        </is>
      </c>
      <c r="I25" s="2" t="inlineStr">
        <is>
          <t>Custom</t>
        </is>
      </c>
      <c r="J25" s="2" t="inlineStr"/>
      <c r="K25" s="3" t="inlineStr"/>
    </row>
    <row r="26" ht="36" customHeight="1">
      <c r="A26" s="2" t="inlineStr">
        <is>
          <t>P2.4</t>
        </is>
      </c>
      <c r="B26" s="2" t="inlineStr">
        <is>
          <t>Phase 2</t>
        </is>
      </c>
      <c r="C26" s="2" t="inlineStr">
        <is>
          <t>Safety</t>
        </is>
      </c>
      <c r="D26" s="3" t="inlineStr">
        <is>
          <t>Multi-account parallel sessions</t>
        </is>
      </c>
      <c r="E26" s="3" t="inlineStr">
        <is>
          <t>Per-account browser via BrowserSessionManager + ConcurrentHashMap.</t>
        </is>
      </c>
      <c r="F26" s="4" t="inlineStr">
        <is>
          <t>Done</t>
        </is>
      </c>
      <c r="G26" s="6" t="inlineStr">
        <is>
          <t>High</t>
        </is>
      </c>
      <c r="H26" s="2" t="inlineStr">
        <is>
          <t>S</t>
        </is>
      </c>
      <c r="I26" s="2" t="inlineStr">
        <is>
          <t>TravBotSharp</t>
        </is>
      </c>
      <c r="J26" s="2" t="inlineStr"/>
      <c r="K26" s="3" t="inlineStr"/>
    </row>
    <row r="27" ht="36" customHeight="1">
      <c r="A27" s="2" t="inlineStr">
        <is>
          <t>P2.6</t>
        </is>
      </c>
      <c r="B27" s="2" t="inlineStr">
        <is>
          <t>Phase 2</t>
        </is>
      </c>
      <c r="C27" s="2" t="inlineStr">
        <is>
          <t>Safety</t>
        </is>
      </c>
      <c r="D27" s="3" t="inlineStr">
        <is>
          <t>Playwright proxy injection</t>
        </is>
      </c>
      <c r="E27" s="3" t="inlineStr">
        <is>
          <t>Apply AccountProxy when launching Chromium; rotate per account.</t>
        </is>
      </c>
      <c r="F27" s="10" t="inlineStr">
        <is>
          <t>Done</t>
        </is>
      </c>
      <c r="G27" s="5" t="inlineStr">
        <is>
          <t>Critical</t>
        </is>
      </c>
      <c r="H27" s="2" t="inlineStr">
        <is>
          <t>M</t>
        </is>
      </c>
      <c r="I27" s="2" t="inlineStr">
        <is>
          <t>Custom</t>
        </is>
      </c>
      <c r="J27" s="2" t="inlineStr">
        <is>
          <t>P2.4</t>
        </is>
      </c>
      <c r="K27" s="3" t="inlineStr">
        <is>
          <t>AccountProxy entity exists but unused · Active AccountProxy row applied at Chromium launch via Playwright proxy options (2026-07-05)</t>
        </is>
      </c>
    </row>
    <row r="28" ht="36" customHeight="1">
      <c r="A28" s="2" t="inlineStr">
        <is>
          <t>P2.7</t>
        </is>
      </c>
      <c r="B28" s="2" t="inlineStr">
        <is>
          <t>Phase 2</t>
        </is>
      </c>
      <c r="C28" s="2" t="inlineStr">
        <is>
          <t>Safety</t>
        </is>
      </c>
      <c r="D28" s="3" t="inlineStr">
        <is>
          <t>Rate limiter per account</t>
        </is>
      </c>
      <c r="E28" s="3" t="inlineStr">
        <is>
          <t>Bucket4j or token bucket: cap req/min per accountId.</t>
        </is>
      </c>
      <c r="F28" s="10" t="inlineStr">
        <is>
          <t>Done</t>
        </is>
      </c>
      <c r="G28" s="6" t="inlineStr">
        <is>
          <t>High</t>
        </is>
      </c>
      <c r="H28" s="2" t="inlineStr">
        <is>
          <t>M</t>
        </is>
      </c>
      <c r="I28" s="2" t="inlineStr">
        <is>
          <t>Custom</t>
        </is>
      </c>
      <c r="J28" s="2" t="inlineStr"/>
      <c r="K28" s="3" t="inlineStr">
        <is>
          <t>ActionRateLimiter: per-account token bucket, maxActionsPerMinute setting (default 20), gates every browser action (2026-07-05)</t>
        </is>
      </c>
    </row>
    <row r="29" ht="36" customHeight="1">
      <c r="A29" s="2" t="inlineStr">
        <is>
          <t>P2.8</t>
        </is>
      </c>
      <c r="B29" s="2" t="inlineStr">
        <is>
          <t>Phase 2</t>
        </is>
      </c>
      <c r="C29" s="2" t="inlineStr">
        <is>
          <t>Safety</t>
        </is>
      </c>
      <c r="D29" s="3" t="inlineStr">
        <is>
          <t>Captcha detect + pause + notif</t>
        </is>
      </c>
      <c r="E29" s="3" t="inlineStr">
        <is>
          <t>Detect challenge DOM markers, pause scheduler, notify user.</t>
        </is>
      </c>
      <c r="F29" s="10" t="inlineStr">
        <is>
          <t>Done</t>
        </is>
      </c>
      <c r="G29" s="5" t="inlineStr">
        <is>
          <t>Critical</t>
        </is>
      </c>
      <c r="H29" s="2" t="inlineStr">
        <is>
          <t>M</t>
        </is>
      </c>
      <c r="I29" s="2" t="inlineStr">
        <is>
          <t>Custom</t>
        </is>
      </c>
      <c r="J29" s="2" t="inlineStr">
        <is>
          <t>NOT1</t>
        </is>
      </c>
      <c r="K29" s="3" t="inlineStr">
        <is>
          <t>CaptchaDetector on dorf1/dorf2 + CaptchaGate pause + session release + Discord notify; manual login resumes (2026-07-05)</t>
        </is>
      </c>
    </row>
    <row r="30" ht="36" customHeight="1">
      <c r="A30" s="2" t="inlineStr">
        <is>
          <t>P2.9</t>
        </is>
      </c>
      <c r="B30" s="2" t="inlineStr">
        <is>
          <t>Phase 2</t>
        </is>
      </c>
      <c r="C30" s="2" t="inlineStr">
        <is>
          <t>Safety</t>
        </is>
      </c>
      <c r="D30" s="3" t="inlineStr">
        <is>
          <t>User-agent / viewport rotation</t>
        </is>
      </c>
      <c r="E30" s="3" t="inlineStr">
        <is>
          <t>Per-session UA + viewport randomization at launch.</t>
        </is>
      </c>
      <c r="F30" s="10" t="inlineStr">
        <is>
          <t>Done</t>
        </is>
      </c>
      <c r="G30" s="8" t="inlineStr">
        <is>
          <t>Medium</t>
        </is>
      </c>
      <c r="H30" s="2" t="inlineStr">
        <is>
          <t>S</t>
        </is>
      </c>
      <c r="I30" s="2" t="inlineStr">
        <is>
          <t>Custom</t>
        </is>
      </c>
      <c r="J30" s="2" t="inlineStr">
        <is>
          <t>P2.4</t>
        </is>
      </c>
      <c r="K30" s="3" t="inlineStr">
        <is>
          <t>BrowserFingerprint: matched UA+viewport pool, randomized per session at context creation (2026-07-05)</t>
        </is>
      </c>
    </row>
    <row r="31" ht="36" customHeight="1">
      <c r="A31" s="2" t="inlineStr">
        <is>
          <t>P2.10</t>
        </is>
      </c>
      <c r="B31" s="2" t="inlineStr">
        <is>
          <t>Phase 2</t>
        </is>
      </c>
      <c r="C31" s="2" t="inlineStr">
        <is>
          <t>Safety</t>
        </is>
      </c>
      <c r="D31" s="3" t="inlineStr">
        <is>
          <t>BotLog UI filters</t>
        </is>
      </c>
      <c r="E31" s="3" t="inlineStr">
        <is>
          <t>Frontend filter by account/severity/date/search.</t>
        </is>
      </c>
      <c r="F31" s="10" t="inlineStr">
        <is>
          <t>Done</t>
        </is>
      </c>
      <c r="G31" s="8" t="inlineStr">
        <is>
          <t>Medium</t>
        </is>
      </c>
      <c r="H31" s="2" t="inlineStr">
        <is>
          <t>M</t>
        </is>
      </c>
      <c r="I31" s="2" t="inlineStr">
        <is>
          <t>Custom</t>
        </is>
      </c>
      <c r="J31" s="2" t="inlineStr"/>
      <c r="K31" s="3" t="inlineStr">
        <is>
          <t>Backend log exists · Bot log filters: outcome/search/date-range, JPA Specifications (2026-07-05)</t>
        </is>
      </c>
    </row>
    <row r="32" ht="36" customHeight="1">
      <c r="A32" s="2" t="inlineStr">
        <is>
          <t>P2.11</t>
        </is>
      </c>
      <c r="B32" s="2" t="inlineStr">
        <is>
          <t>Phase 2</t>
        </is>
      </c>
      <c r="C32" s="2" t="inlineStr">
        <is>
          <t>Safety</t>
        </is>
      </c>
      <c r="D32" s="3" t="inlineStr">
        <is>
          <t>Headless mode toggle per-account</t>
        </is>
      </c>
      <c r="E32" s="3" t="inlineStr">
        <is>
          <t>Per-account boolean: run Chromium without UI.</t>
        </is>
      </c>
      <c r="F32" s="10" t="inlineStr">
        <is>
          <t>Done</t>
        </is>
      </c>
      <c r="G32" s="9" t="inlineStr">
        <is>
          <t>Low</t>
        </is>
      </c>
      <c r="H32" s="2" t="inlineStr">
        <is>
          <t>S</t>
        </is>
      </c>
      <c r="I32" s="2" t="inlineStr">
        <is>
          <t>Custom</t>
        </is>
      </c>
      <c r="J32" s="2" t="inlineStr">
        <is>
          <t>P2.4</t>
        </is>
      </c>
      <c r="K32" s="3" t="inlineStr">
        <is>
          <t>Per-account headless flag on AccountSettings; BrowserSessionManager reads it at launch; toggle in account settings Browser group (2026-07-05)</t>
        </is>
      </c>
    </row>
    <row r="33" ht="36" customHeight="1">
      <c r="A33" s="2" t="inlineStr">
        <is>
          <t>P2.12</t>
        </is>
      </c>
      <c r="B33" s="2" t="inlineStr">
        <is>
          <t>Phase 2</t>
        </is>
      </c>
      <c r="C33" s="2" t="inlineStr">
        <is>
          <t>Safety</t>
        </is>
      </c>
      <c r="D33" s="3" t="inlineStr">
        <is>
          <t>Mouse path randomization</t>
        </is>
      </c>
      <c r="E33" s="3" t="inlineStr">
        <is>
          <t>Curve path before click instead of teleporting.</t>
        </is>
      </c>
      <c r="F33" s="10" t="inlineStr">
        <is>
          <t>Not Started</t>
        </is>
      </c>
      <c r="G33" s="9" t="inlineStr">
        <is>
          <t>Low</t>
        </is>
      </c>
      <c r="H33" s="2" t="inlineStr">
        <is>
          <t>M</t>
        </is>
      </c>
      <c r="I33" s="2" t="inlineStr">
        <is>
          <t>Custom</t>
        </is>
      </c>
      <c r="J33" s="2" t="inlineStr"/>
      <c r="K33" s="3" t="inlineStr"/>
    </row>
    <row r="34" ht="36" customHeight="1">
      <c r="A34" s="2" t="inlineStr">
        <is>
          <t>A1</t>
        </is>
      </c>
      <c r="B34" s="2" t="inlineStr">
        <is>
          <t>Tier A</t>
        </is>
      </c>
      <c r="C34" s="2" t="inlineStr">
        <is>
          <t>AI Analytics</t>
        </is>
      </c>
      <c r="D34" s="3" t="inlineStr">
        <is>
          <t>Incoming attack scraper + TS analyzer</t>
        </is>
      </c>
      <c r="E34" s="3" t="inlineStr">
        <is>
          <t>Parse rally point, compute attacker speed/troop class.</t>
        </is>
      </c>
      <c r="F34" s="4" t="inlineStr">
        <is>
          <t>Done</t>
        </is>
      </c>
      <c r="G34" s="5" t="inlineStr">
        <is>
          <t>Critical</t>
        </is>
      </c>
      <c r="H34" s="2" t="inlineStr">
        <is>
          <t>L</t>
        </is>
      </c>
      <c r="I34" s="2" t="inlineStr">
        <is>
          <t>Travcotools</t>
        </is>
      </c>
      <c r="J34" s="2" t="inlineStr">
        <is>
          <t>P1.2</t>
        </is>
      </c>
      <c r="K34" s="3" t="inlineStr"/>
    </row>
    <row r="35" ht="36" customHeight="1">
      <c r="A35" s="2" t="inlineStr">
        <is>
          <t>A2</t>
        </is>
      </c>
      <c r="B35" s="2" t="inlineStr">
        <is>
          <t>Tier A</t>
        </is>
      </c>
      <c r="C35" s="2" t="inlineStr">
        <is>
          <t>AI Analytics</t>
        </is>
      </c>
      <c r="D35" s="3" t="inlineStr">
        <is>
          <t>Return-catch optimizer</t>
        </is>
      </c>
      <c r="E35" s="3" t="inlineStr">
        <is>
          <t>Suggest launch-time so we hit attacker home with no defense.</t>
        </is>
      </c>
      <c r="F35" s="4" t="inlineStr">
        <is>
          <t>Done</t>
        </is>
      </c>
      <c r="G35" s="5" t="inlineStr">
        <is>
          <t>Critical</t>
        </is>
      </c>
      <c r="H35" s="2" t="inlineStr">
        <is>
          <t>M</t>
        </is>
      </c>
      <c r="I35" s="2" t="inlineStr">
        <is>
          <t>Custom</t>
        </is>
      </c>
      <c r="J35" s="2" t="inlineStr">
        <is>
          <t>A1</t>
        </is>
      </c>
      <c r="K35" s="3" t="inlineStr"/>
    </row>
    <row r="36" ht="36" customHeight="1">
      <c r="A36" s="2" t="inlineStr">
        <is>
          <t>A3</t>
        </is>
      </c>
      <c r="B36" s="2" t="inlineStr">
        <is>
          <t>Tier A</t>
        </is>
      </c>
      <c r="C36" s="2" t="inlineStr">
        <is>
          <t>AI Analytics</t>
        </is>
      </c>
      <c r="D36" s="3" t="inlineStr">
        <is>
          <t>Inactive search (map.sql)</t>
        </is>
      </c>
      <c r="E36" s="3" t="inlineStr">
        <is>
          <t>Parse daily map.sql dump, flag inactive players with filters.</t>
        </is>
      </c>
      <c r="F36" s="4" t="inlineStr">
        <is>
          <t>Done</t>
        </is>
      </c>
      <c r="G36" s="6" t="inlineStr">
        <is>
          <t>High</t>
        </is>
      </c>
      <c r="H36" s="2" t="inlineStr">
        <is>
          <t>L</t>
        </is>
      </c>
      <c r="I36" s="2" t="inlineStr">
        <is>
          <t>Travcotools</t>
        </is>
      </c>
      <c r="J36" s="2" t="inlineStr"/>
      <c r="K36" s="3" t="inlineStr"/>
    </row>
    <row r="37" ht="36" customHeight="1">
      <c r="A37" s="2" t="inlineStr">
        <is>
          <t>B1</t>
        </is>
      </c>
      <c r="B37" s="2" t="inlineStr">
        <is>
          <t>Tier B</t>
        </is>
      </c>
      <c r="C37" s="2" t="inlineStr">
        <is>
          <t>Analytics</t>
        </is>
      </c>
      <c r="D37" s="3" t="inlineStr">
        <is>
          <t>Farmlist analyzer + traffic-light</t>
        </is>
      </c>
      <c r="E37" s="3" t="inlineStr">
        <is>
          <t>Parse berichte.php raid reports, attribute, score per target.</t>
        </is>
      </c>
      <c r="F37" s="4" t="inlineStr">
        <is>
          <t>Done</t>
        </is>
      </c>
      <c r="G37" s="6" t="inlineStr">
        <is>
          <t>High</t>
        </is>
      </c>
      <c r="H37" s="2" t="inlineStr">
        <is>
          <t>L</t>
        </is>
      </c>
      <c r="I37" s="2" t="inlineStr">
        <is>
          <t>Travcotools</t>
        </is>
      </c>
      <c r="J37" s="2" t="inlineStr">
        <is>
          <t>P1.5</t>
        </is>
      </c>
      <c r="K37" s="3" t="inlineStr"/>
    </row>
    <row r="38" ht="36" customHeight="1">
      <c r="A38" s="2" t="inlineStr">
        <is>
          <t>B2</t>
        </is>
      </c>
      <c r="B38" s="2" t="inlineStr">
        <is>
          <t>Tier B</t>
        </is>
      </c>
      <c r="C38" s="2" t="inlineStr">
        <is>
          <t>AI Analytics</t>
        </is>
      </c>
      <c r="D38" s="3" t="inlineStr">
        <is>
          <t>Enemy intel + hero tracker</t>
        </is>
      </c>
      <c r="E38" s="3" t="inlineStr">
        <is>
          <t>Snapshot enemy profile, narrate hero/pop changes.</t>
        </is>
      </c>
      <c r="F38" s="4" t="inlineStr">
        <is>
          <t>Done</t>
        </is>
      </c>
      <c r="G38" s="6" t="inlineStr">
        <is>
          <t>High</t>
        </is>
      </c>
      <c r="H38" s="2" t="inlineStr">
        <is>
          <t>L</t>
        </is>
      </c>
      <c r="I38" s="2" t="inlineStr">
        <is>
          <t>Custom</t>
        </is>
      </c>
      <c r="J38" s="2" t="inlineStr">
        <is>
          <t>A1,A3</t>
        </is>
      </c>
      <c r="K38" s="3" t="inlineStr"/>
    </row>
    <row r="39" ht="36" customHeight="1">
      <c r="A39" s="2" t="inlineStr">
        <is>
          <t>B3</t>
        </is>
      </c>
      <c r="B39" s="2" t="inlineStr">
        <is>
          <t>Tier B</t>
        </is>
      </c>
      <c r="C39" s="2" t="inlineStr">
        <is>
          <t>AI Analytics</t>
        </is>
      </c>
      <c r="D39" s="3" t="inlineStr">
        <is>
          <t>Cropper finder 15c/9c</t>
        </is>
      </c>
      <c r="E39" s="3" t="inlineStr">
        <is>
          <t>Heuristic classification from population + capital flag.</t>
        </is>
      </c>
      <c r="F39" s="4" t="inlineStr">
        <is>
          <t>Done</t>
        </is>
      </c>
      <c r="G39" s="8" t="inlineStr">
        <is>
          <t>Medium</t>
        </is>
      </c>
      <c r="H39" s="2" t="inlineStr">
        <is>
          <t>M</t>
        </is>
      </c>
      <c r="I39" s="2" t="inlineStr">
        <is>
          <t>Travmap</t>
        </is>
      </c>
      <c r="J39" s="2" t="inlineStr">
        <is>
          <t>A3</t>
        </is>
      </c>
      <c r="K39" s="3" t="inlineStr"/>
    </row>
    <row r="40" ht="36" customHeight="1">
      <c r="A40" s="2" t="inlineStr">
        <is>
          <t>C1</t>
        </is>
      </c>
      <c r="B40" s="2" t="inlineStr">
        <is>
          <t>Tier C</t>
        </is>
      </c>
      <c r="C40" s="2" t="inlineStr">
        <is>
          <t>Notifications</t>
        </is>
      </c>
      <c r="D40" s="3" t="inlineStr">
        <is>
          <t>Discord webhook notifier</t>
        </is>
      </c>
      <c r="E40" s="3" t="inlineStr">
        <is>
          <t>Push BotEvents to configured webhook URL.</t>
        </is>
      </c>
      <c r="F40" s="10" t="inlineStr">
        <is>
          <t>Done</t>
        </is>
      </c>
      <c r="G40" s="6" t="inlineStr">
        <is>
          <t>High</t>
        </is>
      </c>
      <c r="H40" s="2" t="inlineStr">
        <is>
          <t>S</t>
        </is>
      </c>
      <c r="I40" s="2" t="inlineStr">
        <is>
          <t>Travcotools</t>
        </is>
      </c>
      <c r="J40" s="2" t="inlineStr"/>
      <c r="K40" s="3" t="inlineStr">
        <is>
          <t>Was already implemented: DiscordNotifier + settings page + per-event toggles</t>
        </is>
      </c>
    </row>
    <row r="41" ht="36" customHeight="1">
      <c r="A41" s="2" t="inlineStr">
        <is>
          <t>C2</t>
        </is>
      </c>
      <c r="B41" s="2" t="inlineStr">
        <is>
          <t>Tier C</t>
        </is>
      </c>
      <c r="C41" s="2" t="inlineStr">
        <is>
          <t>Notifications</t>
        </is>
      </c>
      <c r="D41" s="3" t="inlineStr">
        <is>
          <t>Telegram notifier</t>
        </is>
      </c>
      <c r="E41" s="3" t="inlineStr">
        <is>
          <t>Bot token + chat id, push critical events.</t>
        </is>
      </c>
      <c r="F41" s="10" t="inlineStr">
        <is>
          <t>Done</t>
        </is>
      </c>
      <c r="G41" s="8" t="inlineStr">
        <is>
          <t>Medium</t>
        </is>
      </c>
      <c r="H41" s="2" t="inlineStr">
        <is>
          <t>S</t>
        </is>
      </c>
      <c r="I41" s="2" t="inlineStr">
        <is>
          <t>Custom</t>
        </is>
      </c>
      <c r="J41" s="2" t="inlineStr"/>
      <c r="K41" s="3" t="inlineStr">
        <is>
          <t>TelegramNotifier + settings page, wired via new EventNotifier interface + NotificationDispatcher fan-out (Discord+Telegram) (2026-07-05)</t>
        </is>
      </c>
    </row>
    <row r="42" ht="36" customHeight="1">
      <c r="A42" s="2" t="inlineStr">
        <is>
          <t>C3</t>
        </is>
      </c>
      <c r="B42" s="2" t="inlineStr">
        <is>
          <t>Tier C</t>
        </is>
      </c>
      <c r="C42" s="2" t="inlineStr">
        <is>
          <t>Notifications</t>
        </is>
      </c>
      <c r="D42" s="3" t="inlineStr">
        <is>
          <t>Desktop push notifications</t>
        </is>
      </c>
      <c r="E42" s="3" t="inlineStr">
        <is>
          <t>Browser Notification API + service worker.</t>
        </is>
      </c>
      <c r="F42" s="10" t="inlineStr">
        <is>
          <t>Done</t>
        </is>
      </c>
      <c r="G42" s="6" t="inlineStr">
        <is>
          <t>High</t>
        </is>
      </c>
      <c r="H42" s="2" t="inlineStr">
        <is>
          <t>S</t>
        </is>
      </c>
      <c r="I42" s="2" t="inlineStr">
        <is>
          <t>Custom</t>
        </is>
      </c>
      <c r="J42" s="2" t="inlineStr"/>
      <c r="K42" s="3" t="inlineStr">
        <is>
          <t>useIncomingAttackWatch hook: browser Notification API on new incoming attack, gated on desktopNotificationsEnabled, dedup + seed-on-first-poll (2026-07-05)</t>
        </is>
      </c>
    </row>
    <row r="43" ht="36" customHeight="1">
      <c r="A43" s="2" t="inlineStr">
        <is>
          <t>C4</t>
        </is>
      </c>
      <c r="B43" s="2" t="inlineStr">
        <is>
          <t>Tier C</t>
        </is>
      </c>
      <c r="C43" s="2" t="inlineStr">
        <is>
          <t>Coord</t>
        </is>
      </c>
      <c r="D43" s="3" t="inlineStr">
        <is>
          <t>Defense pull (wave-timing)</t>
        </is>
      </c>
      <c r="E43" s="3" t="inlineStr">
        <is>
          <t>Coordinate sends from N villages to arrive simultaneously.</t>
        </is>
      </c>
      <c r="F43" s="10" t="inlineStr">
        <is>
          <t>Not Started</t>
        </is>
      </c>
      <c r="G43" s="8" t="inlineStr">
        <is>
          <t>Medium</t>
        </is>
      </c>
      <c r="H43" s="2" t="inlineStr">
        <is>
          <t>L</t>
        </is>
      </c>
      <c r="I43" s="2" t="inlineStr">
        <is>
          <t>Travcotools</t>
        </is>
      </c>
      <c r="J43" s="2" t="inlineStr">
        <is>
          <t>P1.1</t>
        </is>
      </c>
      <c r="K43" s="3" t="inlineStr"/>
    </row>
    <row r="44" ht="36" customHeight="1">
      <c r="A44" s="2" t="inlineStr">
        <is>
          <t>C5</t>
        </is>
      </c>
      <c r="B44" s="2" t="inlineStr">
        <is>
          <t>Tier C</t>
        </is>
      </c>
      <c r="C44" s="2" t="inlineStr">
        <is>
          <t>Coord</t>
        </is>
      </c>
      <c r="D44" s="3" t="inlineStr">
        <is>
          <t>Resource subsidies automation</t>
        </is>
      </c>
      <c r="E44" s="3" t="inlineStr">
        <is>
          <t>Inter-account / inter-village marketplace push routing.</t>
        </is>
      </c>
      <c r="F44" s="10" t="inlineStr">
        <is>
          <t>Not Started</t>
        </is>
      </c>
      <c r="G44" s="8" t="inlineStr">
        <is>
          <t>Medium</t>
        </is>
      </c>
      <c r="H44" s="2" t="inlineStr">
        <is>
          <t>M</t>
        </is>
      </c>
      <c r="I44" s="2" t="inlineStr">
        <is>
          <t>Travcotools</t>
        </is>
      </c>
      <c r="J44" s="2" t="inlineStr">
        <is>
          <t>P1.4</t>
        </is>
      </c>
      <c r="K44" s="3" t="inlineStr"/>
    </row>
    <row r="45" ht="36" customHeight="1">
      <c r="A45" s="2" t="inlineStr">
        <is>
          <t>C6</t>
        </is>
      </c>
      <c r="B45" s="2" t="inlineStr">
        <is>
          <t>Tier C</t>
        </is>
      </c>
      <c r="C45" s="2" t="inlineStr">
        <is>
          <t>Coord</t>
        </is>
      </c>
      <c r="D45" s="3" t="inlineStr">
        <is>
          <t>Sitter coop support</t>
        </is>
      </c>
      <c r="E45" s="3" t="inlineStr">
        <is>
          <t>Multi-user access with role permissions.</t>
        </is>
      </c>
      <c r="F45" s="10" t="inlineStr">
        <is>
          <t>Not Started</t>
        </is>
      </c>
      <c r="G45" s="9" t="inlineStr">
        <is>
          <t>Low</t>
        </is>
      </c>
      <c r="H45" s="2" t="inlineStr">
        <is>
          <t>L</t>
        </is>
      </c>
      <c r="I45" s="2" t="inlineStr">
        <is>
          <t>Travian</t>
        </is>
      </c>
      <c r="J45" s="2" t="inlineStr"/>
      <c r="K45" s="3" t="inlineStr"/>
    </row>
    <row r="46" ht="36" customHeight="1">
      <c r="A46" s="2" t="inlineStr">
        <is>
          <t>D1</t>
        </is>
      </c>
      <c r="B46" s="2" t="inlineStr">
        <is>
          <t>Tier D</t>
        </is>
      </c>
      <c r="C46" s="2" t="inlineStr">
        <is>
          <t>Strategy</t>
        </is>
      </c>
      <c r="D46" s="3" t="inlineStr">
        <is>
          <t>Artifact spawn coordinator</t>
        </is>
      </c>
      <c r="E46" s="3" t="inlineStr">
        <is>
          <t>Hardcoded spawn dates + grab planning per village.</t>
        </is>
      </c>
      <c r="F46" s="10" t="inlineStr">
        <is>
          <t>Not Started</t>
        </is>
      </c>
      <c r="G46" s="9" t="inlineStr">
        <is>
          <t>Low</t>
        </is>
      </c>
      <c r="H46" s="2" t="inlineStr">
        <is>
          <t>XL</t>
        </is>
      </c>
      <c r="I46" s="2" t="inlineStr">
        <is>
          <t>Travcotools</t>
        </is>
      </c>
      <c r="J46" s="2" t="inlineStr"/>
      <c r="K46" s="3" t="inlineStr"/>
    </row>
    <row r="47" ht="36" customHeight="1">
      <c r="A47" s="2" t="inlineStr">
        <is>
          <t>D2</t>
        </is>
      </c>
      <c r="B47" s="2" t="inlineStr">
        <is>
          <t>Tier D</t>
        </is>
      </c>
      <c r="C47" s="2" t="inlineStr">
        <is>
          <t>Analytics</t>
        </is>
      </c>
      <c r="D47" s="3" t="inlineStr">
        <is>
          <t>Top10 / leaderboard delta tracking</t>
        </is>
      </c>
      <c r="E47" s="3" t="inlineStr">
        <is>
          <t>Daily snapshot, render deltas, suspect-hammer detection.</t>
        </is>
      </c>
      <c r="F47" s="11" t="inlineStr">
        <is>
          <t>In Progress</t>
        </is>
      </c>
      <c r="G47" s="8" t="inlineStr">
        <is>
          <t>Medium</t>
        </is>
      </c>
      <c r="H47" s="2" t="inlineStr">
        <is>
          <t>M</t>
        </is>
      </c>
      <c r="I47" s="2" t="inlineStr">
        <is>
          <t>Travcotools</t>
        </is>
      </c>
      <c r="J47" s="2" t="inlineStr"/>
      <c r="K47" s="3" t="inlineStr">
        <is>
          <t>Entity + scheduler exist; UI partial</t>
        </is>
      </c>
    </row>
    <row r="48" ht="36" customHeight="1">
      <c r="A48" s="2" t="inlineStr">
        <is>
          <t>D3</t>
        </is>
      </c>
      <c r="B48" s="2" t="inlineStr">
        <is>
          <t>Tier D</t>
        </is>
      </c>
      <c r="C48" s="2" t="inlineStr">
        <is>
          <t>Strategy</t>
        </is>
      </c>
      <c r="D48" s="3" t="inlineStr">
        <is>
          <t>WW countdown tracker</t>
        </is>
      </c>
      <c r="E48" s="3" t="inlineStr">
        <is>
          <t>Wonder-of-the-World construction watcher (very late server).</t>
        </is>
      </c>
      <c r="F48" s="10" t="inlineStr">
        <is>
          <t>Not Started</t>
        </is>
      </c>
      <c r="G48" s="9" t="inlineStr">
        <is>
          <t>Low</t>
        </is>
      </c>
      <c r="H48" s="2" t="inlineStr">
        <is>
          <t>M</t>
        </is>
      </c>
      <c r="I48" s="2" t="inlineStr">
        <is>
          <t>Travian</t>
        </is>
      </c>
      <c r="J48" s="2" t="inlineStr"/>
      <c r="K48" s="3" t="inlineStr"/>
    </row>
    <row r="49" ht="36" customHeight="1">
      <c r="A49" s="2" t="inlineStr">
        <is>
          <t>D4</t>
        </is>
      </c>
      <c r="B49" s="2" t="inlineStr">
        <is>
          <t>Tier D</t>
        </is>
      </c>
      <c r="C49" s="2" t="inlineStr">
        <is>
          <t>Analytics</t>
        </is>
      </c>
      <c r="D49" s="3" t="inlineStr">
        <is>
          <t>Cropper ROI ranking</t>
        </is>
      </c>
      <c r="E49" s="3" t="inlineStr">
        <is>
          <t>Score croppers by distance/oasis bonus/settle time.</t>
        </is>
      </c>
      <c r="F49" s="10" t="inlineStr">
        <is>
          <t>Not Started</t>
        </is>
      </c>
      <c r="G49" s="9" t="inlineStr">
        <is>
          <t>Low</t>
        </is>
      </c>
      <c r="H49" s="2" t="inlineStr">
        <is>
          <t>M</t>
        </is>
      </c>
      <c r="I49" s="2" t="inlineStr">
        <is>
          <t>Custom</t>
        </is>
      </c>
      <c r="J49" s="2" t="inlineStr">
        <is>
          <t>B3</t>
        </is>
      </c>
      <c r="K49" s="3" t="inlineStr"/>
    </row>
    <row r="50" ht="36" customHeight="1">
      <c r="A50" s="2" t="inlineStr">
        <is>
          <t>D5</t>
        </is>
      </c>
      <c r="B50" s="2" t="inlineStr">
        <is>
          <t>Tier D</t>
        </is>
      </c>
      <c r="C50" s="2" t="inlineStr">
        <is>
          <t>Strategy</t>
        </is>
      </c>
      <c r="D50" s="3" t="inlineStr">
        <is>
          <t>Goal mode (WW/off/deff templates)</t>
        </is>
      </c>
      <c r="E50" s="3" t="inlineStr">
        <is>
          <t>Pre-set build queues + troop mix based on user goal.</t>
        </is>
      </c>
      <c r="F50" s="10" t="inlineStr">
        <is>
          <t>Not Started</t>
        </is>
      </c>
      <c r="G50" s="9" t="inlineStr">
        <is>
          <t>Low</t>
        </is>
      </c>
      <c r="H50" s="2" t="inlineStr">
        <is>
          <t>XL</t>
        </is>
      </c>
      <c r="I50" s="2" t="inlineStr">
        <is>
          <t>Custom</t>
        </is>
      </c>
      <c r="J50" s="2" t="inlineStr">
        <is>
          <t>P1.3</t>
        </is>
      </c>
      <c r="K50" s="3" t="inlineStr"/>
    </row>
    <row r="51" ht="36" customHeight="1">
      <c r="A51" s="2" t="inlineStr">
        <is>
          <t>D6</t>
        </is>
      </c>
      <c r="B51" s="2" t="inlineStr">
        <is>
          <t>Tier D</t>
        </is>
      </c>
      <c r="C51" s="2" t="inlineStr">
        <is>
          <t>Strategy</t>
        </is>
      </c>
      <c r="D51" s="3" t="inlineStr">
        <is>
          <t>CP / settler planner</t>
        </is>
      </c>
      <c r="E51" s="3" t="inlineStr">
        <is>
          <t>Compute when CP + 3 settlers reach quota for next village.</t>
        </is>
      </c>
      <c r="F51" s="10" t="inlineStr">
        <is>
          <t>Not Started</t>
        </is>
      </c>
      <c r="G51" s="8" t="inlineStr">
        <is>
          <t>Medium</t>
        </is>
      </c>
      <c r="H51" s="2" t="inlineStr">
        <is>
          <t>M</t>
        </is>
      </c>
      <c r="I51" s="2" t="inlineStr">
        <is>
          <t>Gettertools</t>
        </is>
      </c>
      <c r="J51" s="2" t="inlineStr">
        <is>
          <t>P1.2</t>
        </is>
      </c>
      <c r="K51" s="3" t="inlineStr"/>
    </row>
    <row r="52" ht="36" customHeight="1">
      <c r="A52" s="2" t="inlineStr">
        <is>
          <t>D7</t>
        </is>
      </c>
      <c r="B52" s="2" t="inlineStr">
        <is>
          <t>Tier D</t>
        </is>
      </c>
      <c r="C52" s="2" t="inlineStr">
        <is>
          <t>Strategy</t>
        </is>
      </c>
      <c r="D52" s="3" t="inlineStr">
        <is>
          <t>Capital choice advisor</t>
        </is>
      </c>
      <c r="E52" s="3" t="inlineStr">
        <is>
          <t>Detect 15c in radius, recommend capital relocation.</t>
        </is>
      </c>
      <c r="F52" s="10" t="inlineStr">
        <is>
          <t>Not Started</t>
        </is>
      </c>
      <c r="G52" s="9" t="inlineStr">
        <is>
          <t>Low</t>
        </is>
      </c>
      <c r="H52" s="2" t="inlineStr">
        <is>
          <t>M</t>
        </is>
      </c>
      <c r="I52" s="2" t="inlineStr">
        <is>
          <t>Travmap</t>
        </is>
      </c>
      <c r="J52" s="2" t="inlineStr">
        <is>
          <t>B3</t>
        </is>
      </c>
      <c r="K52" s="3" t="inlineStr"/>
    </row>
    <row r="53" ht="36" customHeight="1">
      <c r="A53" s="2" t="inlineStr">
        <is>
          <t>MAP1</t>
        </is>
      </c>
      <c r="B53" s="2" t="inlineStr">
        <is>
          <t>Tier MAP</t>
        </is>
      </c>
      <c r="C53" s="2" t="inlineStr">
        <is>
          <t>Map</t>
        </is>
      </c>
      <c r="D53" s="3" t="inlineStr">
        <is>
          <t>Interactive world map view</t>
        </is>
      </c>
      <c r="E53" s="3" t="inlineStr">
        <is>
          <t>Render MapPlayer/MapVillage on Canvas/SVG, pan + zoom.</t>
        </is>
      </c>
      <c r="F53" s="10" t="inlineStr">
        <is>
          <t>Done</t>
        </is>
      </c>
      <c r="G53" s="6" t="inlineStr">
        <is>
          <t>High</t>
        </is>
      </c>
      <c r="H53" s="2" t="inlineStr">
        <is>
          <t>XL</t>
        </is>
      </c>
      <c r="I53" s="2" t="inlineStr">
        <is>
          <t>Travmap</t>
        </is>
      </c>
      <c r="J53" s="2" t="inlineStr">
        <is>
          <t>A3</t>
        </is>
      </c>
      <c r="K53" s="3" t="inlineStr">
        <is>
          <t>WorldMapController /servers/{id}/intel/map (join village+player) + Canvas MapPage: pan/zoom, tribe colours, inactive dimmed, capital rings, hover tooltip, coord readout, adaptive grid; route+sidebar+i18n (2026-07-05)</t>
        </is>
      </c>
    </row>
    <row r="54" ht="36" customHeight="1">
      <c r="A54" s="2" t="inlineStr">
        <is>
          <t>MAP2</t>
        </is>
      </c>
      <c r="B54" s="2" t="inlineStr">
        <is>
          <t>Tier MAP</t>
        </is>
      </c>
      <c r="C54" s="2" t="inlineStr">
        <is>
          <t>Map</t>
        </is>
      </c>
      <c r="D54" s="3" t="inlineStr">
        <is>
          <t>Layer toggles</t>
        </is>
      </c>
      <c r="E54" s="3" t="inlineStr">
        <is>
          <t>Toggle: own villages, alliance, tribe, inactive, croppers.</t>
        </is>
      </c>
      <c r="F54" s="10" t="inlineStr">
        <is>
          <t>Not Started</t>
        </is>
      </c>
      <c r="G54" s="6" t="inlineStr">
        <is>
          <t>High</t>
        </is>
      </c>
      <c r="H54" s="2" t="inlineStr">
        <is>
          <t>M</t>
        </is>
      </c>
      <c r="I54" s="2" t="inlineStr">
        <is>
          <t>Travmap</t>
        </is>
      </c>
      <c r="J54" s="2" t="inlineStr">
        <is>
          <t>MAP1</t>
        </is>
      </c>
      <c r="K54" s="3" t="inlineStr"/>
    </row>
    <row r="55" ht="36" customHeight="1">
      <c r="A55" s="2" t="inlineStr">
        <is>
          <t>MAP3</t>
        </is>
      </c>
      <c r="B55" s="2" t="inlineStr">
        <is>
          <t>Tier MAP</t>
        </is>
      </c>
      <c r="C55" s="2" t="inlineStr">
        <is>
          <t>Map</t>
        </is>
      </c>
      <c r="D55" s="3" t="inlineStr">
        <is>
          <t>Distance measurement tool</t>
        </is>
      </c>
      <c r="E55" s="3" t="inlineStr">
        <is>
          <t>Click 2 tiles → field distance + travel time per tribe.</t>
        </is>
      </c>
      <c r="F55" s="10" t="inlineStr">
        <is>
          <t>Not Started</t>
        </is>
      </c>
      <c r="G55" s="8" t="inlineStr">
        <is>
          <t>Medium</t>
        </is>
      </c>
      <c r="H55" s="2" t="inlineStr">
        <is>
          <t>S</t>
        </is>
      </c>
      <c r="I55" s="2" t="inlineStr">
        <is>
          <t>Travmap,Gettertools</t>
        </is>
      </c>
      <c r="J55" s="2" t="inlineStr">
        <is>
          <t>MAP1</t>
        </is>
      </c>
      <c r="K55" s="3" t="inlineStr"/>
    </row>
    <row r="56" ht="36" customHeight="1">
      <c r="A56" s="2" t="inlineStr">
        <is>
          <t>MAP4</t>
        </is>
      </c>
      <c r="B56" s="2" t="inlineStr">
        <is>
          <t>Tier MAP</t>
        </is>
      </c>
      <c r="C56" s="2" t="inlineStr">
        <is>
          <t>Map</t>
        </is>
      </c>
      <c r="D56" s="3" t="inlineStr">
        <is>
          <t>Tile action menu</t>
        </is>
      </c>
      <c r="E56" s="3" t="inlineStr">
        <is>
          <t>Right-click tile → add to farmlist / mark cropper / view player.</t>
        </is>
      </c>
      <c r="F56" s="10" t="inlineStr">
        <is>
          <t>Not Started</t>
        </is>
      </c>
      <c r="G56" s="8" t="inlineStr">
        <is>
          <t>Medium</t>
        </is>
      </c>
      <c r="H56" s="2" t="inlineStr">
        <is>
          <t>M</t>
        </is>
      </c>
      <c r="I56" s="2" t="inlineStr">
        <is>
          <t>Custom</t>
        </is>
      </c>
      <c r="J56" s="2" t="inlineStr">
        <is>
          <t>MAP1,B1,B3</t>
        </is>
      </c>
      <c r="K56" s="3" t="inlineStr"/>
    </row>
    <row r="57" ht="36" customHeight="1">
      <c r="A57" s="2" t="inlineStr">
        <is>
          <t>MAP5</t>
        </is>
      </c>
      <c r="B57" s="2" t="inlineStr">
        <is>
          <t>Tier MAP</t>
        </is>
      </c>
      <c r="C57" s="2" t="inlineStr">
        <is>
          <t>Map</t>
        </is>
      </c>
      <c r="D57" s="3" t="inlineStr">
        <is>
          <t>Historical playback (time slider)</t>
        </is>
      </c>
      <c r="E57" s="3" t="inlineStr">
        <is>
          <t>Step through map.sql snapshots over time.</t>
        </is>
      </c>
      <c r="F57" s="10" t="inlineStr">
        <is>
          <t>Not Started</t>
        </is>
      </c>
      <c r="G57" s="9" t="inlineStr">
        <is>
          <t>Low</t>
        </is>
      </c>
      <c r="H57" s="2" t="inlineStr">
        <is>
          <t>L</t>
        </is>
      </c>
      <c r="I57" s="2" t="inlineStr">
        <is>
          <t>Travmap</t>
        </is>
      </c>
      <c r="J57" s="2" t="inlineStr">
        <is>
          <t>MAP1</t>
        </is>
      </c>
      <c r="K57" s="3" t="inlineStr">
        <is>
          <t>Needs MapPlayerHistory entity</t>
        </is>
      </c>
    </row>
    <row r="58" ht="36" customHeight="1">
      <c r="A58" s="2" t="inlineStr">
        <is>
          <t>MAP6</t>
        </is>
      </c>
      <c r="B58" s="2" t="inlineStr">
        <is>
          <t>Tier MAP</t>
        </is>
      </c>
      <c r="C58" s="2" t="inlineStr">
        <is>
          <t>Map</t>
        </is>
      </c>
      <c r="D58" s="3" t="inlineStr">
        <is>
          <t>Bookmarks / notes on tiles</t>
        </is>
      </c>
      <c r="E58" s="3" t="inlineStr">
        <is>
          <t>Pin tiles with user notes (cropper target, enemy spawn, etc).</t>
        </is>
      </c>
      <c r="F58" s="10" t="inlineStr">
        <is>
          <t>Not Started</t>
        </is>
      </c>
      <c r="G58" s="9" t="inlineStr">
        <is>
          <t>Low</t>
        </is>
      </c>
      <c r="H58" s="2" t="inlineStr">
        <is>
          <t>S</t>
        </is>
      </c>
      <c r="I58" s="2" t="inlineStr">
        <is>
          <t>Travmap</t>
        </is>
      </c>
      <c r="J58" s="2" t="inlineStr">
        <is>
          <t>MAP1</t>
        </is>
      </c>
      <c r="K58" s="3" t="inlineStr"/>
    </row>
    <row r="59" ht="36" customHeight="1">
      <c r="A59" s="2" t="inlineStr">
        <is>
          <t>MAP7</t>
        </is>
      </c>
      <c r="B59" s="2" t="inlineStr">
        <is>
          <t>Tier MAP</t>
        </is>
      </c>
      <c r="C59" s="2" t="inlineStr">
        <is>
          <t>Map</t>
        </is>
      </c>
      <c r="D59" s="3" t="inlineStr">
        <is>
          <t>Search by player / alliance</t>
        </is>
      </c>
      <c r="E59" s="3" t="inlineStr">
        <is>
          <t>Center map on player or zoom-fit alliance territory.</t>
        </is>
      </c>
      <c r="F59" s="10" t="inlineStr">
        <is>
          <t>Not Started</t>
        </is>
      </c>
      <c r="G59" s="8" t="inlineStr">
        <is>
          <t>Medium</t>
        </is>
      </c>
      <c r="H59" s="2" t="inlineStr">
        <is>
          <t>S</t>
        </is>
      </c>
      <c r="I59" s="2" t="inlineStr">
        <is>
          <t>Travmap</t>
        </is>
      </c>
      <c r="J59" s="2" t="inlineStr">
        <is>
          <t>MAP1</t>
        </is>
      </c>
      <c r="K59" s="3" t="inlineStr"/>
    </row>
    <row r="60" ht="36" customHeight="1">
      <c r="A60" s="2" t="inlineStr">
        <is>
          <t>MAP8</t>
        </is>
      </c>
      <c r="B60" s="2" t="inlineStr">
        <is>
          <t>Tier MAP</t>
        </is>
      </c>
      <c r="C60" s="2" t="inlineStr">
        <is>
          <t>Map</t>
        </is>
      </c>
      <c r="D60" s="3" t="inlineStr">
        <is>
          <t>Map.sql diff visualization</t>
        </is>
      </c>
      <c r="E60" s="3" t="inlineStr">
        <is>
          <t>Show newly-settled / abandoned villages between syncs.</t>
        </is>
      </c>
      <c r="F60" s="10" t="inlineStr">
        <is>
          <t>Not Started</t>
        </is>
      </c>
      <c r="G60" s="9" t="inlineStr">
        <is>
          <t>Low</t>
        </is>
      </c>
      <c r="H60" s="2" t="inlineStr">
        <is>
          <t>M</t>
        </is>
      </c>
      <c r="I60" s="2" t="inlineStr">
        <is>
          <t>Travmap</t>
        </is>
      </c>
      <c r="J60" s="2" t="inlineStr">
        <is>
          <t>MAP1</t>
        </is>
      </c>
      <c r="K60" s="3" t="inlineStr"/>
    </row>
    <row r="61" ht="36" customHeight="1">
      <c r="A61" s="2" t="inlineStr">
        <is>
          <t>MAP9</t>
        </is>
      </c>
      <c r="B61" s="2" t="inlineStr">
        <is>
          <t>Tier MAP</t>
        </is>
      </c>
      <c r="C61" s="2" t="inlineStr">
        <is>
          <t>Map</t>
        </is>
      </c>
      <c r="D61" s="3" t="inlineStr">
        <is>
          <t>Heatmap overlays</t>
        </is>
      </c>
      <c r="E61" s="3" t="inlineStr">
        <is>
          <t>Population density / alliance influence heatmap.</t>
        </is>
      </c>
      <c r="F61" s="10" t="inlineStr">
        <is>
          <t>Not Started</t>
        </is>
      </c>
      <c r="G61" s="8" t="inlineStr">
        <is>
          <t>Medium</t>
        </is>
      </c>
      <c r="H61" s="2" t="inlineStr">
        <is>
          <t>M</t>
        </is>
      </c>
      <c r="I61" s="2" t="inlineStr">
        <is>
          <t>Travmap</t>
        </is>
      </c>
      <c r="J61" s="2" t="inlineStr">
        <is>
          <t>MAP1</t>
        </is>
      </c>
      <c r="K61" s="3" t="inlineStr"/>
    </row>
    <row r="62" ht="36" customHeight="1">
      <c r="A62" s="2" t="inlineStr">
        <is>
          <t>MAP10</t>
        </is>
      </c>
      <c r="B62" s="2" t="inlineStr">
        <is>
          <t>Tier MAP</t>
        </is>
      </c>
      <c r="C62" s="2" t="inlineStr">
        <is>
          <t>Map</t>
        </is>
      </c>
      <c r="D62" s="3" t="inlineStr">
        <is>
          <t>Incoming-attack arrows overlay</t>
        </is>
      </c>
      <c r="E62" s="3" t="inlineStr">
        <is>
          <t>Render IncomingAttack source→target arrows live.</t>
        </is>
      </c>
      <c r="F62" s="10" t="inlineStr">
        <is>
          <t>Not Started</t>
        </is>
      </c>
      <c r="G62" s="6" t="inlineStr">
        <is>
          <t>High</t>
        </is>
      </c>
      <c r="H62" s="2" t="inlineStr">
        <is>
          <t>M</t>
        </is>
      </c>
      <c r="I62" s="2" t="inlineStr">
        <is>
          <t>Custom</t>
        </is>
      </c>
      <c r="J62" s="2" t="inlineStr">
        <is>
          <t>MAP1,A1</t>
        </is>
      </c>
      <c r="K62" s="3" t="inlineStr"/>
    </row>
    <row r="63" ht="36" customHeight="1">
      <c r="A63" s="2" t="inlineStr">
        <is>
          <t>CALC1</t>
        </is>
      </c>
      <c r="B63" s="2" t="inlineStr">
        <is>
          <t>Tier CALC</t>
        </is>
      </c>
      <c r="C63" s="2" t="inlineStr">
        <is>
          <t>Calculator</t>
        </is>
      </c>
      <c r="D63" s="3" t="inlineStr">
        <is>
          <t>Troop battle simulator</t>
        </is>
      </c>
      <c r="E63" s="3" t="inlineStr">
        <is>
          <t>Simulate raid: attacker units vs defender + wall + hero.</t>
        </is>
      </c>
      <c r="F63" s="10" t="inlineStr">
        <is>
          <t>Not Started</t>
        </is>
      </c>
      <c r="G63" s="8" t="inlineStr">
        <is>
          <t>Medium</t>
        </is>
      </c>
      <c r="H63" s="2" t="inlineStr">
        <is>
          <t>M</t>
        </is>
      </c>
      <c r="I63" s="2" t="inlineStr">
        <is>
          <t>Gettertools</t>
        </is>
      </c>
      <c r="J63" s="2" t="inlineStr"/>
      <c r="K63" s="3" t="inlineStr"/>
    </row>
    <row r="64" ht="36" customHeight="1">
      <c r="A64" s="2" t="inlineStr">
        <is>
          <t>CALC2</t>
        </is>
      </c>
      <c r="B64" s="2" t="inlineStr">
        <is>
          <t>Tier CALC</t>
        </is>
      </c>
      <c r="C64" s="2" t="inlineStr">
        <is>
          <t>Calculator</t>
        </is>
      </c>
      <c r="D64" s="3" t="inlineStr">
        <is>
          <t>Travel time calc</t>
        </is>
      </c>
      <c r="E64" s="3" t="inlineStr">
        <is>
          <t>Coord-to-coord time per tribe / unit class.</t>
        </is>
      </c>
      <c r="F64" s="10" t="inlineStr">
        <is>
          <t>Done</t>
        </is>
      </c>
      <c r="G64" s="6" t="inlineStr">
        <is>
          <t>High</t>
        </is>
      </c>
      <c r="H64" s="2" t="inlineStr">
        <is>
          <t>S</t>
        </is>
      </c>
      <c r="I64" s="2" t="inlineStr">
        <is>
          <t>Gettertools</t>
        </is>
      </c>
      <c r="J64" s="2" t="inlineStr"/>
      <c r="K64" s="3" t="inlineStr">
        <is>
          <t>TravelCalculatorPage: torus distance, TS bonus, landing-time reverse calc (2026-07-05)</t>
        </is>
      </c>
    </row>
    <row r="65" ht="36" customHeight="1">
      <c r="A65" s="2" t="inlineStr">
        <is>
          <t>CALC3</t>
        </is>
      </c>
      <c r="B65" s="2" t="inlineStr">
        <is>
          <t>Tier CALC</t>
        </is>
      </c>
      <c r="C65" s="2" t="inlineStr">
        <is>
          <t>Calculator</t>
        </is>
      </c>
      <c r="D65" s="3" t="inlineStr">
        <is>
          <t>Settler ETA calc</t>
        </is>
      </c>
      <c r="E65" s="3" t="inlineStr">
        <is>
          <t>Resources + CP + production → ETA new village.</t>
        </is>
      </c>
      <c r="F65" s="10" t="inlineStr">
        <is>
          <t>Not Started</t>
        </is>
      </c>
      <c r="G65" s="9" t="inlineStr">
        <is>
          <t>Low</t>
        </is>
      </c>
      <c r="H65" s="2" t="inlineStr">
        <is>
          <t>S</t>
        </is>
      </c>
      <c r="I65" s="2" t="inlineStr">
        <is>
          <t>Gettertools</t>
        </is>
      </c>
      <c r="J65" s="2" t="inlineStr">
        <is>
          <t>P1.2</t>
        </is>
      </c>
      <c r="K65" s="3" t="inlineStr"/>
    </row>
    <row r="66" ht="36" customHeight="1">
      <c r="A66" s="2" t="inlineStr">
        <is>
          <t>CALC4</t>
        </is>
      </c>
      <c r="B66" s="2" t="inlineStr">
        <is>
          <t>Tier CALC</t>
        </is>
      </c>
      <c r="C66" s="2" t="inlineStr">
        <is>
          <t>Calculator</t>
        </is>
      </c>
      <c r="D66" s="3" t="inlineStr">
        <is>
          <t>Hero regen calc</t>
        </is>
      </c>
      <c r="E66" s="3" t="inlineStr">
        <is>
          <t>HP regen rate from helmet / production bonus.</t>
        </is>
      </c>
      <c r="F66" s="10" t="inlineStr">
        <is>
          <t>Not Started</t>
        </is>
      </c>
      <c r="G66" s="9" t="inlineStr">
        <is>
          <t>Low</t>
        </is>
      </c>
      <c r="H66" s="2" t="inlineStr">
        <is>
          <t>S</t>
        </is>
      </c>
      <c r="I66" s="2" t="inlineStr">
        <is>
          <t>Gettertools</t>
        </is>
      </c>
      <c r="J66" s="2" t="inlineStr">
        <is>
          <t>P1.6</t>
        </is>
      </c>
      <c r="K66" s="3" t="inlineStr"/>
    </row>
    <row r="67" ht="36" customHeight="1">
      <c r="A67" s="2" t="inlineStr">
        <is>
          <t>CALC5</t>
        </is>
      </c>
      <c r="B67" s="2" t="inlineStr">
        <is>
          <t>Tier CALC</t>
        </is>
      </c>
      <c r="C67" s="2" t="inlineStr">
        <is>
          <t>Calculator</t>
        </is>
      </c>
      <c r="D67" s="3" t="inlineStr">
        <is>
          <t>Building cost lookup</t>
        </is>
      </c>
      <c r="E67" s="3" t="inlineStr">
        <is>
          <t>Lookup wood/clay/iron/crop cost for any building level.</t>
        </is>
      </c>
      <c r="F67" s="10" t="inlineStr">
        <is>
          <t>Not Started</t>
        </is>
      </c>
      <c r="G67" s="8" t="inlineStr">
        <is>
          <t>Medium</t>
        </is>
      </c>
      <c r="H67" s="2" t="inlineStr">
        <is>
          <t>S</t>
        </is>
      </c>
      <c r="I67" s="2" t="inlineStr">
        <is>
          <t>Gettertools</t>
        </is>
      </c>
      <c r="J67" s="2" t="inlineStr"/>
      <c r="K67" s="3" t="inlineStr"/>
    </row>
    <row r="68" ht="36" customHeight="1">
      <c r="A68" s="2" t="inlineStr">
        <is>
          <t>CALC6</t>
        </is>
      </c>
      <c r="B68" s="2" t="inlineStr">
        <is>
          <t>Tier CALC</t>
        </is>
      </c>
      <c r="C68" s="2" t="inlineStr">
        <is>
          <t>Calculator</t>
        </is>
      </c>
      <c r="D68" s="3" t="inlineStr">
        <is>
          <t>Combat simulator (advanced)</t>
        </is>
      </c>
      <c r="E68" s="3" t="inlineStr">
        <is>
          <t>Includes hero stats, walls, alliance bonuses, morale.</t>
        </is>
      </c>
      <c r="F68" s="10" t="inlineStr">
        <is>
          <t>Not Started</t>
        </is>
      </c>
      <c r="G68" s="9" t="inlineStr">
        <is>
          <t>Low</t>
        </is>
      </c>
      <c r="H68" s="2" t="inlineStr">
        <is>
          <t>L</t>
        </is>
      </c>
      <c r="I68" s="2" t="inlineStr">
        <is>
          <t>Gettertools</t>
        </is>
      </c>
      <c r="J68" s="2" t="inlineStr">
        <is>
          <t>CALC1</t>
        </is>
      </c>
      <c r="K68" s="3" t="inlineStr"/>
    </row>
    <row r="69" ht="36" customHeight="1">
      <c r="A69" s="2" t="inlineStr">
        <is>
          <t>NOT3</t>
        </is>
      </c>
      <c r="B69" s="2" t="inlineStr">
        <is>
          <t>Notifications</t>
        </is>
      </c>
      <c r="C69" s="2" t="inlineStr">
        <is>
          <t>Notifications</t>
        </is>
      </c>
      <c r="D69" s="3" t="inlineStr">
        <is>
          <t>Sound alerts on critical events</t>
        </is>
      </c>
      <c r="E69" s="3" t="inlineStr">
        <is>
          <t>Web Audio API on incoming attack, captcha, hero died.</t>
        </is>
      </c>
      <c r="F69" s="10" t="inlineStr">
        <is>
          <t>Done</t>
        </is>
      </c>
      <c r="G69" s="8" t="inlineStr">
        <is>
          <t>Medium</t>
        </is>
      </c>
      <c r="H69" s="2" t="inlineStr">
        <is>
          <t>S</t>
        </is>
      </c>
      <c r="I69" s="2" t="inlineStr">
        <is>
          <t>Custom</t>
        </is>
      </c>
      <c r="J69" s="2" t="inlineStr">
        <is>
          <t>C3</t>
        </is>
      </c>
      <c r="K69" s="3" t="inlineStr">
        <is>
          <t>Web Audio two-tone beep on new incoming attack, gated on new soundAlertsEnabled setting, wired into useIncomingAttackWatch (2026-07-05)</t>
        </is>
      </c>
    </row>
    <row r="70" ht="36" customHeight="1">
      <c r="A70" s="2" t="inlineStr">
        <is>
          <t>NOT4</t>
        </is>
      </c>
      <c r="B70" s="2" t="inlineStr">
        <is>
          <t>Notifications</t>
        </is>
      </c>
      <c r="C70" s="2" t="inlineStr">
        <is>
          <t>UX</t>
        </is>
      </c>
      <c r="D70" s="3" t="inlineStr">
        <is>
          <t>WebSocket / SSE live updates</t>
        </is>
      </c>
      <c r="E70" s="3" t="inlineStr">
        <is>
          <t>Push backend events to UI instead of polling REST.</t>
        </is>
      </c>
      <c r="F70" s="10" t="inlineStr">
        <is>
          <t>Done</t>
        </is>
      </c>
      <c r="G70" s="6" t="inlineStr">
        <is>
          <t>High</t>
        </is>
      </c>
      <c r="H70" s="2" t="inlineStr">
        <is>
          <t>M</t>
        </is>
      </c>
      <c r="I70" s="2" t="inlineStr">
        <is>
          <t>Custom</t>
        </is>
      </c>
      <c r="J70" s="2" t="inlineStr"/>
      <c r="K70" s="3" t="inlineStr">
        <is>
          <t>SSE: SseEventBroadcaster + /api/events/stream; broadcasts bot-event + incoming-attack after commit; frontend EventStream context + useLiveEvent wired into BotLogPage and useIncomingAttackWatch (polls kept as fallback) (2026-07-05)</t>
        </is>
      </c>
    </row>
    <row r="71" ht="36" customHeight="1">
      <c r="A71" s="2" t="inlineStr">
        <is>
          <t>NOT5</t>
        </is>
      </c>
      <c r="B71" s="2" t="inlineStr">
        <is>
          <t>Notifications</t>
        </is>
      </c>
      <c r="C71" s="2" t="inlineStr">
        <is>
          <t>UX</t>
        </is>
      </c>
      <c r="D71" s="3" t="inlineStr">
        <is>
          <t>Mobile-friendly responsive layout</t>
        </is>
      </c>
      <c r="E71" s="3" t="inlineStr">
        <is>
          <t>Sidebar collapses, tables horizontal-scroll, touch targets.</t>
        </is>
      </c>
      <c r="F71" s="10" t="inlineStr">
        <is>
          <t>Not Started</t>
        </is>
      </c>
      <c r="G71" s="9" t="inlineStr">
        <is>
          <t>Low</t>
        </is>
      </c>
      <c r="H71" s="2" t="inlineStr">
        <is>
          <t>M</t>
        </is>
      </c>
      <c r="I71" s="2" t="inlineStr">
        <is>
          <t>Custom</t>
        </is>
      </c>
      <c r="J71" s="2" t="inlineStr"/>
      <c r="K71" s="3" t="inlineStr"/>
    </row>
    <row r="72" ht="36" customHeight="1">
      <c r="A72" s="2" t="inlineStr">
        <is>
          <t>NOT6</t>
        </is>
      </c>
      <c r="B72" s="2" t="inlineStr">
        <is>
          <t>Notifications</t>
        </is>
      </c>
      <c r="C72" s="2" t="inlineStr">
        <is>
          <t>UX</t>
        </is>
      </c>
      <c r="D72" s="3" t="inlineStr">
        <is>
          <t>PWA install</t>
        </is>
      </c>
      <c r="E72" s="3" t="inlineStr">
        <is>
          <t>Service worker + manifest, installable on mobile/desktop.</t>
        </is>
      </c>
      <c r="F72" s="10" t="inlineStr">
        <is>
          <t>Not Started</t>
        </is>
      </c>
      <c r="G72" s="9" t="inlineStr">
        <is>
          <t>Low</t>
        </is>
      </c>
      <c r="H72" s="2" t="inlineStr">
        <is>
          <t>S</t>
        </is>
      </c>
      <c r="I72" s="2" t="inlineStr">
        <is>
          <t>Custom</t>
        </is>
      </c>
      <c r="J72" s="2" t="inlineStr">
        <is>
          <t>NOT5</t>
        </is>
      </c>
      <c r="K72" s="3" t="inlineStr"/>
    </row>
    <row r="73" ht="36" customHeight="1">
      <c r="A73" s="2" t="inlineStr">
        <is>
          <t>NOT7</t>
        </is>
      </c>
      <c r="B73" s="2" t="inlineStr">
        <is>
          <t>Notifications</t>
        </is>
      </c>
      <c r="C73" s="2" t="inlineStr">
        <is>
          <t>Notifications</t>
        </is>
      </c>
      <c r="D73" s="3" t="inlineStr">
        <is>
          <t>Email daily digest</t>
        </is>
      </c>
      <c r="E73" s="3" t="inlineStr">
        <is>
          <t>SMTP / Resend summary of activity &amp; alerts.</t>
        </is>
      </c>
      <c r="F73" s="10" t="inlineStr">
        <is>
          <t>Not Started</t>
        </is>
      </c>
      <c r="G73" s="9" t="inlineStr">
        <is>
          <t>Low</t>
        </is>
      </c>
      <c r="H73" s="2" t="inlineStr">
        <is>
          <t>M</t>
        </is>
      </c>
      <c r="I73" s="2" t="inlineStr">
        <is>
          <t>Custom</t>
        </is>
      </c>
      <c r="J73" s="2" t="inlineStr"/>
      <c r="K73" s="3" t="inlineStr"/>
    </row>
    <row r="74" ht="36" customHeight="1">
      <c r="A74" s="2" t="inlineStr">
        <is>
          <t>SEC1</t>
        </is>
      </c>
      <c r="B74" s="2" t="inlineStr">
        <is>
          <t>Security</t>
        </is>
      </c>
      <c r="C74" s="2" t="inlineStr">
        <is>
          <t>Security</t>
        </is>
      </c>
      <c r="D74" s="3" t="inlineStr">
        <is>
          <t>Password encryption AES-GCM</t>
        </is>
      </c>
      <c r="E74" s="3" t="inlineStr">
        <is>
          <t>Encrypt Account.password at rest keyed from master password.</t>
        </is>
      </c>
      <c r="F74" s="10" t="inlineStr">
        <is>
          <t>Not Started</t>
        </is>
      </c>
      <c r="G74" s="5" t="inlineStr">
        <is>
          <t>Critical</t>
        </is>
      </c>
      <c r="H74" s="2" t="inlineStr">
        <is>
          <t>M</t>
        </is>
      </c>
      <c r="I74" s="2" t="inlineStr">
        <is>
          <t>Custom</t>
        </is>
      </c>
      <c r="J74" s="2" t="inlineStr"/>
      <c r="K74" s="3" t="inlineStr">
        <is>
          <t>Currently plaintext</t>
        </is>
      </c>
    </row>
    <row r="75" ht="36" customHeight="1">
      <c r="A75" s="2" t="inlineStr">
        <is>
          <t>SEC2</t>
        </is>
      </c>
      <c r="B75" s="2" t="inlineStr">
        <is>
          <t>Security</t>
        </is>
      </c>
      <c r="C75" s="2" t="inlineStr">
        <is>
          <t>Security</t>
        </is>
      </c>
      <c r="D75" s="3" t="inlineStr">
        <is>
          <t>Session secret rotation</t>
        </is>
      </c>
      <c r="E75" s="3" t="inlineStr">
        <is>
          <t>Refresh Travian session cookies periodically.</t>
        </is>
      </c>
      <c r="F75" s="10" t="inlineStr">
        <is>
          <t>Not Started</t>
        </is>
      </c>
      <c r="G75" s="9" t="inlineStr">
        <is>
          <t>Low</t>
        </is>
      </c>
      <c r="H75" s="2" t="inlineStr">
        <is>
          <t>S</t>
        </is>
      </c>
      <c r="I75" s="2" t="inlineStr">
        <is>
          <t>Custom</t>
        </is>
      </c>
      <c r="J75" s="2" t="inlineStr">
        <is>
          <t>P1.1</t>
        </is>
      </c>
      <c r="K75" s="3" t="inlineStr"/>
    </row>
    <row r="76" ht="36" customHeight="1">
      <c r="A76" s="2" t="inlineStr">
        <is>
          <t>SEC3</t>
        </is>
      </c>
      <c r="B76" s="2" t="inlineStr">
        <is>
          <t>Security</t>
        </is>
      </c>
      <c r="C76" s="2" t="inlineStr">
        <is>
          <t>Security</t>
        </is>
      </c>
      <c r="D76" s="3" t="inlineStr">
        <is>
          <t>Audit log of account access</t>
        </is>
      </c>
      <c r="E76" s="3" t="inlineStr">
        <is>
          <t>Track who/when accessed Account credentials.</t>
        </is>
      </c>
      <c r="F76" s="10" t="inlineStr">
        <is>
          <t>Not Started</t>
        </is>
      </c>
      <c r="G76" s="9" t="inlineStr">
        <is>
          <t>Low</t>
        </is>
      </c>
      <c r="H76" s="2" t="inlineStr">
        <is>
          <t>S</t>
        </is>
      </c>
      <c r="I76" s="2" t="inlineStr">
        <is>
          <t>Custom</t>
        </is>
      </c>
      <c r="J76" s="2" t="inlineStr"/>
      <c r="K76" s="3" t="inlineStr"/>
    </row>
    <row r="77" ht="36" customHeight="1">
      <c r="A77" s="2" t="inlineStr">
        <is>
          <t>SEC4</t>
        </is>
      </c>
      <c r="B77" s="2" t="inlineStr">
        <is>
          <t>Security</t>
        </is>
      </c>
      <c r="C77" s="2" t="inlineStr">
        <is>
          <t>Security</t>
        </is>
      </c>
      <c r="D77" s="3" t="inlineStr">
        <is>
          <t>IP allowlist for backend API</t>
        </is>
      </c>
      <c r="E77" s="3" t="inlineStr">
        <is>
          <t>Restrict /api/* to allowed IPs (when deployed).</t>
        </is>
      </c>
      <c r="F77" s="10" t="inlineStr">
        <is>
          <t>Not Started</t>
        </is>
      </c>
      <c r="G77" s="9" t="inlineStr">
        <is>
          <t>Low</t>
        </is>
      </c>
      <c r="H77" s="2" t="inlineStr">
        <is>
          <t>S</t>
        </is>
      </c>
      <c r="I77" s="2" t="inlineStr">
        <is>
          <t>Custom</t>
        </is>
      </c>
      <c r="J77" s="2" t="inlineStr"/>
      <c r="K77" s="3" t="inlineStr"/>
    </row>
    <row r="78" ht="36" customHeight="1">
      <c r="A78" s="2" t="inlineStr">
        <is>
          <t>REL1</t>
        </is>
      </c>
      <c r="B78" s="2" t="inlineStr">
        <is>
          <t>Reliability</t>
        </is>
      </c>
      <c r="C78" s="2" t="inlineStr">
        <is>
          <t>Reliability</t>
        </is>
      </c>
      <c r="D78" s="3" t="inlineStr">
        <is>
          <t>Durable task queue</t>
        </is>
      </c>
      <c r="E78" s="3" t="inlineStr">
        <is>
          <t>Persist scheduler state in DB so restart resumes mid-batch.</t>
        </is>
      </c>
      <c r="F78" s="10" t="inlineStr">
        <is>
          <t>Not Started</t>
        </is>
      </c>
      <c r="G78" s="6" t="inlineStr">
        <is>
          <t>High</t>
        </is>
      </c>
      <c r="H78" s="2" t="inlineStr">
        <is>
          <t>L</t>
        </is>
      </c>
      <c r="I78" s="2" t="inlineStr">
        <is>
          <t>Custom</t>
        </is>
      </c>
      <c r="J78" s="2" t="inlineStr"/>
      <c r="K78" s="3" t="inlineStr">
        <is>
          <t>task/ module exists, not wired</t>
        </is>
      </c>
    </row>
    <row r="79" ht="36" customHeight="1">
      <c r="A79" s="2" t="inlineStr">
        <is>
          <t>REL2</t>
        </is>
      </c>
      <c r="B79" s="2" t="inlineStr">
        <is>
          <t>Reliability</t>
        </is>
      </c>
      <c r="C79" s="2" t="inlineStr">
        <is>
          <t>Reliability</t>
        </is>
      </c>
      <c r="D79" s="3" t="inlineStr">
        <is>
          <t>Crash-recovery state</t>
        </is>
      </c>
      <c r="E79" s="3" t="inlineStr">
        <is>
          <t>On boot, finish or rollback in-flight Playwright operations.</t>
        </is>
      </c>
      <c r="F79" s="10" t="inlineStr">
        <is>
          <t>Not Started</t>
        </is>
      </c>
      <c r="G79" s="6" t="inlineStr">
        <is>
          <t>High</t>
        </is>
      </c>
      <c r="H79" s="2" t="inlineStr">
        <is>
          <t>M</t>
        </is>
      </c>
      <c r="I79" s="2" t="inlineStr">
        <is>
          <t>Custom</t>
        </is>
      </c>
      <c r="J79" s="2" t="inlineStr">
        <is>
          <t>REL1</t>
        </is>
      </c>
      <c r="K79" s="3" t="inlineStr"/>
    </row>
    <row r="80" ht="36" customHeight="1">
      <c r="A80" s="2" t="inlineStr">
        <is>
          <t>REL3</t>
        </is>
      </c>
      <c r="B80" s="2" t="inlineStr">
        <is>
          <t>Reliability</t>
        </is>
      </c>
      <c r="C80" s="2" t="inlineStr">
        <is>
          <t>Reliability</t>
        </is>
      </c>
      <c r="D80" s="3" t="inlineStr">
        <is>
          <t>PG dump scheduler</t>
        </is>
      </c>
      <c r="E80" s="3" t="inlineStr">
        <is>
          <t>Daily backup, retain N copies.</t>
        </is>
      </c>
      <c r="F80" s="10" t="inlineStr">
        <is>
          <t>Not Started</t>
        </is>
      </c>
      <c r="G80" s="8" t="inlineStr">
        <is>
          <t>Medium</t>
        </is>
      </c>
      <c r="H80" s="2" t="inlineStr">
        <is>
          <t>S</t>
        </is>
      </c>
      <c r="I80" s="2" t="inlineStr">
        <is>
          <t>Custom</t>
        </is>
      </c>
      <c r="J80" s="2" t="inlineStr"/>
      <c r="K80" s="3" t="inlineStr"/>
    </row>
    <row r="81" ht="36" customHeight="1">
      <c r="A81" s="2" t="inlineStr">
        <is>
          <t>REL4</t>
        </is>
      </c>
      <c r="B81" s="2" t="inlineStr">
        <is>
          <t>Reliability</t>
        </is>
      </c>
      <c r="C81" s="2" t="inlineStr">
        <is>
          <t>Reliability</t>
        </is>
      </c>
      <c r="D81" s="3" t="inlineStr">
        <is>
          <t>Health-check + auto-restart</t>
        </is>
      </c>
      <c r="E81" s="3" t="inlineStr">
        <is>
          <t>/api/health watchdog + supervisor restart on failure.</t>
        </is>
      </c>
      <c r="F81" s="10" t="inlineStr">
        <is>
          <t>Not Started</t>
        </is>
      </c>
      <c r="G81" s="9" t="inlineStr">
        <is>
          <t>Low</t>
        </is>
      </c>
      <c r="H81" s="2" t="inlineStr">
        <is>
          <t>S</t>
        </is>
      </c>
      <c r="I81" s="2" t="inlineStr">
        <is>
          <t>Custom</t>
        </is>
      </c>
      <c r="J81" s="2" t="inlineStr"/>
      <c r="K81" s="3" t="inlineStr"/>
    </row>
    <row r="82" ht="36" customHeight="1">
      <c r="A82" s="2" t="inlineStr">
        <is>
          <t>REL5</t>
        </is>
      </c>
      <c r="B82" s="2" t="inlineStr">
        <is>
          <t>Reliability</t>
        </is>
      </c>
      <c r="C82" s="2" t="inlineStr">
        <is>
          <t>Reliability</t>
        </is>
      </c>
      <c r="D82" s="3" t="inlineStr">
        <is>
          <t>Observability (Prometheus + Grafana)</t>
        </is>
      </c>
      <c r="E82" s="3" t="inlineStr">
        <is>
          <t>Metrics export + dashboards.</t>
        </is>
      </c>
      <c r="F82" s="10" t="inlineStr">
        <is>
          <t>Not Started</t>
        </is>
      </c>
      <c r="G82" s="9" t="inlineStr">
        <is>
          <t>Low</t>
        </is>
      </c>
      <c r="H82" s="2" t="inlineStr">
        <is>
          <t>L</t>
        </is>
      </c>
      <c r="I82" s="2" t="inlineStr">
        <is>
          <t>Custom</t>
        </is>
      </c>
      <c r="J82" s="2" t="inlineStr"/>
      <c r="K82" s="3" t="inlineStr"/>
    </row>
    <row r="83" ht="36" customHeight="1">
      <c r="A83" s="2" t="inlineStr">
        <is>
          <t>PERF1</t>
        </is>
      </c>
      <c r="B83" s="2" t="inlineStr">
        <is>
          <t>Performance</t>
        </is>
      </c>
      <c r="C83" s="2" t="inlineStr">
        <is>
          <t>Performance</t>
        </is>
      </c>
      <c r="D83" s="3" t="inlineStr">
        <is>
          <t>HTTP fallback client</t>
        </is>
      </c>
      <c r="E83" s="3" t="inlineStr">
        <is>
          <t>Jsoup + HttpClient + cookies for routine scraping (no browser).</t>
        </is>
      </c>
      <c r="F83" s="10" t="inlineStr">
        <is>
          <t>Not Started</t>
        </is>
      </c>
      <c r="G83" s="6" t="inlineStr">
        <is>
          <t>High</t>
        </is>
      </c>
      <c r="H83" s="2" t="inlineStr">
        <is>
          <t>XL</t>
        </is>
      </c>
      <c r="I83" s="2" t="inlineStr">
        <is>
          <t>Custom</t>
        </is>
      </c>
      <c r="J83" s="2" t="inlineStr">
        <is>
          <t>P1.1</t>
        </is>
      </c>
      <c r="K83" s="3" t="inlineStr">
        <is>
          <t>10x faster, 5x less RAM</t>
        </is>
      </c>
    </row>
    <row r="84" ht="36" customHeight="1">
      <c r="A84" s="2" t="inlineStr">
        <is>
          <t>PERF2</t>
        </is>
      </c>
      <c r="B84" s="2" t="inlineStr">
        <is>
          <t>Performance</t>
        </is>
      </c>
      <c r="C84" s="2" t="inlineStr">
        <is>
          <t>Performance</t>
        </is>
      </c>
      <c r="D84" s="3" t="inlineStr">
        <is>
          <t>Page result caching</t>
        </is>
      </c>
      <c r="E84" s="3" t="inlineStr">
        <is>
          <t>Cache scraped HTML for N seconds for repeated reads.</t>
        </is>
      </c>
      <c r="F84" s="10" t="inlineStr">
        <is>
          <t>Not Started</t>
        </is>
      </c>
      <c r="G84" s="9" t="inlineStr">
        <is>
          <t>Low</t>
        </is>
      </c>
      <c r="H84" s="2" t="inlineStr">
        <is>
          <t>M</t>
        </is>
      </c>
      <c r="I84" s="2" t="inlineStr">
        <is>
          <t>Custom</t>
        </is>
      </c>
      <c r="J84" s="2" t="inlineStr"/>
      <c r="K84" s="3" t="inlineStr"/>
    </row>
    <row r="85" ht="36" customHeight="1">
      <c r="A85" s="2" t="inlineStr">
        <is>
          <t>PERF3</t>
        </is>
      </c>
      <c r="B85" s="2" t="inlineStr">
        <is>
          <t>Performance</t>
        </is>
      </c>
      <c r="C85" s="2" t="inlineStr">
        <is>
          <t>Performance</t>
        </is>
      </c>
      <c r="D85" s="3" t="inlineStr">
        <is>
          <t>Browser pool optimization</t>
        </is>
      </c>
      <c r="E85" s="3" t="inlineStr">
        <is>
          <t>Reuse Chromium contexts across accounts where safe.</t>
        </is>
      </c>
      <c r="F85" s="10" t="inlineStr">
        <is>
          <t>Not Started</t>
        </is>
      </c>
      <c r="G85" s="8" t="inlineStr">
        <is>
          <t>Medium</t>
        </is>
      </c>
      <c r="H85" s="2" t="inlineStr">
        <is>
          <t>M</t>
        </is>
      </c>
      <c r="I85" s="2" t="inlineStr">
        <is>
          <t>Custom</t>
        </is>
      </c>
      <c r="J85" s="2" t="inlineStr">
        <is>
          <t>P2.4</t>
        </is>
      </c>
      <c r="K85" s="3" t="inlineStr"/>
    </row>
    <row r="86" ht="36" customHeight="1">
      <c r="A86" s="2" t="inlineStr">
        <is>
          <t>TEST1</t>
        </is>
      </c>
      <c r="B86" s="2" t="inlineStr">
        <is>
          <t>Testing</t>
        </is>
      </c>
      <c r="C86" s="2" t="inlineStr">
        <is>
          <t>Testing</t>
        </is>
      </c>
      <c r="D86" s="3" t="inlineStr">
        <is>
          <t>Scraper golden HTML fixtures</t>
        </is>
      </c>
      <c r="E86" s="3" t="inlineStr">
        <is>
          <t>Convert build/debug/*.html into parser regression tests.</t>
        </is>
      </c>
      <c r="F86" s="10" t="inlineStr">
        <is>
          <t>Done</t>
        </is>
      </c>
      <c r="G86" s="6" t="inlineStr">
        <is>
          <t>High</t>
        </is>
      </c>
      <c r="H86" s="2" t="inlineStr">
        <is>
          <t>M</t>
        </is>
      </c>
      <c r="I86" s="2" t="inlineStr">
        <is>
          <t>Custom</t>
        </is>
      </c>
      <c r="J86" s="2" t="inlineStr"/>
      <c r="K86" s="3" t="inlineStr">
        <is>
          <t>Top10PageParserTest: real captured statistics page fixture (4 categories x10 rows) + synthetic edge cases; passes in Maven container (2026-07-05)</t>
        </is>
      </c>
    </row>
    <row r="87" ht="36" customHeight="1">
      <c r="A87" s="2" t="inlineStr">
        <is>
          <t>TEST2</t>
        </is>
      </c>
      <c r="B87" s="2" t="inlineStr">
        <is>
          <t>Testing</t>
        </is>
      </c>
      <c r="C87" s="2" t="inlineStr">
        <is>
          <t>Testing</t>
        </is>
      </c>
      <c r="D87" s="3" t="inlineStr">
        <is>
          <t>Frontend E2E tests</t>
        </is>
      </c>
      <c r="E87" s="3" t="inlineStr">
        <is>
          <t>Playwright tests for sidebar / pages / forms.</t>
        </is>
      </c>
      <c r="F87" s="10" t="inlineStr">
        <is>
          <t>Not Started</t>
        </is>
      </c>
      <c r="G87" s="8" t="inlineStr">
        <is>
          <t>Medium</t>
        </is>
      </c>
      <c r="H87" s="2" t="inlineStr">
        <is>
          <t>L</t>
        </is>
      </c>
      <c r="I87" s="2" t="inlineStr">
        <is>
          <t>Custom</t>
        </is>
      </c>
      <c r="J87" s="2" t="inlineStr"/>
      <c r="K87" s="3" t="inlineStr"/>
    </row>
    <row r="88" ht="36" customHeight="1">
      <c r="A88" s="2" t="inlineStr">
        <is>
          <t>TEST3</t>
        </is>
      </c>
      <c r="B88" s="2" t="inlineStr">
        <is>
          <t>Testing</t>
        </is>
      </c>
      <c r="C88" s="2" t="inlineStr">
        <is>
          <t>Testing</t>
        </is>
      </c>
      <c r="D88" s="3" t="inlineStr">
        <is>
          <t>Load testing</t>
        </is>
      </c>
      <c r="E88" s="3" t="inlineStr">
        <is>
          <t>Simulate N accounts × M villages traffic.</t>
        </is>
      </c>
      <c r="F88" s="10" t="inlineStr">
        <is>
          <t>Not Started</t>
        </is>
      </c>
      <c r="G88" s="9" t="inlineStr">
        <is>
          <t>Low</t>
        </is>
      </c>
      <c r="H88" s="2" t="inlineStr">
        <is>
          <t>M</t>
        </is>
      </c>
      <c r="I88" s="2" t="inlineStr">
        <is>
          <t>Custom</t>
        </is>
      </c>
      <c r="J88" s="2" t="inlineStr"/>
      <c r="K88" s="3" t="inlineStr"/>
    </row>
    <row r="89" ht="36" customHeight="1">
      <c r="A89" s="2" t="inlineStr">
        <is>
          <t>TEST4</t>
        </is>
      </c>
      <c r="B89" s="2" t="inlineStr">
        <is>
          <t>Testing</t>
        </is>
      </c>
      <c r="C89" s="2" t="inlineStr">
        <is>
          <t>Testing</t>
        </is>
      </c>
      <c r="D89" s="3" t="inlineStr">
        <is>
          <t>V1 baseline migration generation</t>
        </is>
      </c>
      <c r="E89" s="3" t="inlineStr">
        <is>
          <t>Run Hibernate schema export → V1__init.sql.</t>
        </is>
      </c>
      <c r="F89" s="10" t="inlineStr">
        <is>
          <t>Not Started</t>
        </is>
      </c>
      <c r="G89" s="6" t="inlineStr">
        <is>
          <t>High</t>
        </is>
      </c>
      <c r="H89" s="2" t="inlineStr">
        <is>
          <t>S</t>
        </is>
      </c>
      <c r="I89" s="2" t="inlineStr">
        <is>
          <t>Custom</t>
        </is>
      </c>
      <c r="J89" s="2" t="inlineStr">
        <is>
          <t>P0.2</t>
        </is>
      </c>
      <c r="K89" s="3" t="inlineStr">
        <is>
          <t>Blocks P0.3</t>
        </is>
      </c>
    </row>
    <row r="90" ht="36" customHeight="1">
      <c r="A90" s="2" t="inlineStr">
        <is>
          <t>I18N1</t>
        </is>
      </c>
      <c r="B90" s="2" t="inlineStr">
        <is>
          <t>i18n</t>
        </is>
      </c>
      <c r="C90" s="2" t="inlineStr">
        <is>
          <t>i18n</t>
        </is>
      </c>
      <c r="D90" s="3" t="inlineStr">
        <is>
          <t>English translation</t>
        </is>
      </c>
      <c r="E90" s="3" t="inlineStr">
        <is>
          <t>All UI strings keyed.</t>
        </is>
      </c>
      <c r="F90" s="4" t="inlineStr">
        <is>
          <t>Done</t>
        </is>
      </c>
      <c r="G90" s="5" t="inlineStr">
        <is>
          <t>Critical</t>
        </is>
      </c>
      <c r="H90" s="2" t="inlineStr">
        <is>
          <t>S</t>
        </is>
      </c>
      <c r="I90" s="2" t="inlineStr">
        <is>
          <t>Custom</t>
        </is>
      </c>
      <c r="J90" s="2" t="inlineStr"/>
      <c r="K90" s="3" t="inlineStr"/>
    </row>
    <row r="91" ht="36" customHeight="1">
      <c r="A91" s="2" t="inlineStr">
        <is>
          <t>I18N2</t>
        </is>
      </c>
      <c r="B91" s="2" t="inlineStr">
        <is>
          <t>i18n</t>
        </is>
      </c>
      <c r="C91" s="2" t="inlineStr">
        <is>
          <t>i18n</t>
        </is>
      </c>
      <c r="D91" s="3" t="inlineStr">
        <is>
          <t>Croatian translation</t>
        </is>
      </c>
      <c r="E91" s="3" t="inlineStr">
        <is>
          <t>All UI strings keyed.</t>
        </is>
      </c>
      <c r="F91" s="4" t="inlineStr">
        <is>
          <t>Done</t>
        </is>
      </c>
      <c r="G91" s="5" t="inlineStr">
        <is>
          <t>Critical</t>
        </is>
      </c>
      <c r="H91" s="2" t="inlineStr">
        <is>
          <t>S</t>
        </is>
      </c>
      <c r="I91" s="2" t="inlineStr">
        <is>
          <t>Custom</t>
        </is>
      </c>
      <c r="J91" s="2" t="inlineStr"/>
      <c r="K91" s="3" t="inlineStr"/>
    </row>
    <row r="92" ht="36" customHeight="1">
      <c r="A92" s="2" t="inlineStr">
        <is>
          <t>I18N3</t>
        </is>
      </c>
      <c r="B92" s="2" t="inlineStr">
        <is>
          <t>i18n</t>
        </is>
      </c>
      <c r="C92" s="2" t="inlineStr">
        <is>
          <t>i18n</t>
        </is>
      </c>
      <c r="D92" s="3" t="inlineStr">
        <is>
          <t>German translation</t>
        </is>
      </c>
      <c r="E92" s="3" t="inlineStr">
        <is>
          <t>Important market for Travian.</t>
        </is>
      </c>
      <c r="F92" s="10" t="inlineStr">
        <is>
          <t>Not Started</t>
        </is>
      </c>
      <c r="G92" s="9" t="inlineStr">
        <is>
          <t>Low</t>
        </is>
      </c>
      <c r="H92" s="2" t="inlineStr">
        <is>
          <t>M</t>
        </is>
      </c>
      <c r="I92" s="2" t="inlineStr">
        <is>
          <t>Custom</t>
        </is>
      </c>
      <c r="J92" s="2" t="inlineStr"/>
      <c r="K92" s="3" t="inlineStr"/>
    </row>
    <row r="93" ht="36" customHeight="1">
      <c r="A93" s="2" t="inlineStr">
        <is>
          <t>I18N4</t>
        </is>
      </c>
      <c r="B93" s="2" t="inlineStr">
        <is>
          <t>i18n</t>
        </is>
      </c>
      <c r="C93" s="2" t="inlineStr">
        <is>
          <t>i18n</t>
        </is>
      </c>
      <c r="D93" s="3" t="inlineStr">
        <is>
          <t>Russian translation</t>
        </is>
      </c>
      <c r="E93" s="3" t="inlineStr">
        <is>
          <t>Important market for Travian.</t>
        </is>
      </c>
      <c r="F93" s="10" t="inlineStr">
        <is>
          <t>Not Started</t>
        </is>
      </c>
      <c r="G93" s="9" t="inlineStr">
        <is>
          <t>Low</t>
        </is>
      </c>
      <c r="H93" s="2" t="inlineStr">
        <is>
          <t>M</t>
        </is>
      </c>
      <c r="I93" s="2" t="inlineStr">
        <is>
          <t>Custom</t>
        </is>
      </c>
      <c r="J93" s="2" t="inlineStr"/>
      <c r="K93" s="3" t="inlineStr"/>
    </row>
  </sheetData>
  <autoFilter ref="A1:K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4" customWidth="1" min="4" max="4"/>
    <col width="22" customWidth="1" min="5" max="5"/>
    <col width="8" customWidth="1" min="6" max="6"/>
    <col width="8" customWidth="1" min="7" max="7"/>
    <col width="10" customWidth="1" min="8" max="8"/>
  </cols>
  <sheetData>
    <row r="1">
      <c r="A1" s="12" t="inlineStr">
        <is>
          <t>Travian-Ultimate Roadmap Summary</t>
        </is>
      </c>
    </row>
    <row r="3">
      <c r="A3" s="13" t="inlineStr">
        <is>
          <t>By Status</t>
        </is>
      </c>
      <c r="E3" s="13" t="inlineStr">
        <is>
          <t>By Priority</t>
        </is>
      </c>
    </row>
    <row r="4">
      <c r="A4" s="14" t="inlineStr">
        <is>
          <t>Status</t>
        </is>
      </c>
      <c r="B4" s="14" t="inlineStr">
        <is>
          <t>Count</t>
        </is>
      </c>
      <c r="C4" s="14" t="inlineStr">
        <is>
          <t>% of Total</t>
        </is>
      </c>
      <c r="E4" s="14" t="inlineStr">
        <is>
          <t>Priority</t>
        </is>
      </c>
      <c r="F4" s="14" t="inlineStr">
        <is>
          <t>Count</t>
        </is>
      </c>
      <c r="G4" s="14" t="inlineStr">
        <is>
          <t>% of Total</t>
        </is>
      </c>
    </row>
    <row r="5">
      <c r="A5" s="15" t="inlineStr">
        <is>
          <t>Done</t>
        </is>
      </c>
      <c r="B5">
        <f>COUNTIF(Backlog!F2:F93,"Done")</f>
        <v/>
      </c>
      <c r="C5" s="16">
        <f>IFERROR(B5/SUM($B$5:$B$8),0)</f>
        <v/>
      </c>
      <c r="E5" s="17" t="inlineStr">
        <is>
          <t>Critical</t>
        </is>
      </c>
      <c r="F5">
        <f>COUNTIF(Backlog!G2:G93,"Critical")</f>
        <v/>
      </c>
      <c r="G5" s="16">
        <f>IFERROR(F5/SUM($F$5:$F$8),0)</f>
        <v/>
      </c>
    </row>
    <row r="6">
      <c r="A6" s="18" t="inlineStr">
        <is>
          <t>In Progress</t>
        </is>
      </c>
      <c r="B6">
        <f>COUNTIF(Backlog!F2:F93,"In Progress")</f>
        <v/>
      </c>
      <c r="C6" s="16">
        <f>IFERROR(B6/SUM($B$5:$B$8),0)</f>
        <v/>
      </c>
      <c r="E6" s="19" t="inlineStr">
        <is>
          <t>High</t>
        </is>
      </c>
      <c r="F6">
        <f>COUNTIF(Backlog!G2:G93,"High")</f>
        <v/>
      </c>
      <c r="G6" s="16">
        <f>IFERROR(F6/SUM($F$5:$F$8),0)</f>
        <v/>
      </c>
    </row>
    <row r="7">
      <c r="A7" s="20" t="inlineStr">
        <is>
          <t>Deferred</t>
        </is>
      </c>
      <c r="B7">
        <f>COUNTIF(Backlog!F2:F93,"Deferred")</f>
        <v/>
      </c>
      <c r="C7" s="16">
        <f>IFERROR(B7/SUM($B$5:$B$8),0)</f>
        <v/>
      </c>
      <c r="E7" s="21" t="inlineStr">
        <is>
          <t>Medium</t>
        </is>
      </c>
      <c r="F7">
        <f>COUNTIF(Backlog!G2:G93,"Medium")</f>
        <v/>
      </c>
      <c r="G7" s="16">
        <f>IFERROR(F7/SUM($F$5:$F$8),0)</f>
        <v/>
      </c>
    </row>
    <row r="8">
      <c r="A8" s="22" t="inlineStr">
        <is>
          <t>Not Started</t>
        </is>
      </c>
      <c r="B8">
        <f>COUNTIF(Backlog!F2:F93,"Not Started")</f>
        <v/>
      </c>
      <c r="C8" s="16">
        <f>IFERROR(B8/SUM($B$5:$B$8),0)</f>
        <v/>
      </c>
      <c r="E8" s="23" t="inlineStr">
        <is>
          <t>Low</t>
        </is>
      </c>
      <c r="F8">
        <f>COUNTIF(Backlog!G2:G93,"Low")</f>
        <v/>
      </c>
      <c r="G8" s="16">
        <f>IFERROR(F8/SUM($F$5:$F$8),0)</f>
        <v/>
      </c>
    </row>
    <row r="9">
      <c r="A9" s="24" t="inlineStr">
        <is>
          <t>Total</t>
        </is>
      </c>
      <c r="B9" s="24">
        <f>SUM(B5:B8)</f>
        <v/>
      </c>
    </row>
    <row r="11">
      <c r="A11" s="13" t="inlineStr">
        <is>
          <t>By Inspiration</t>
        </is>
      </c>
      <c r="E11" s="13" t="inlineStr">
        <is>
          <t>Progress by Phase / Tier</t>
        </is>
      </c>
    </row>
    <row r="12">
      <c r="A12" s="14" t="inlineStr">
        <is>
          <t>Source</t>
        </is>
      </c>
      <c r="B12" s="14" t="inlineStr">
        <is>
          <t>Count</t>
        </is>
      </c>
      <c r="E12" s="14" t="inlineStr">
        <is>
          <t>Phase / Tier</t>
        </is>
      </c>
      <c r="F12" s="14" t="inlineStr">
        <is>
          <t>Done</t>
        </is>
      </c>
      <c r="G12" s="14" t="inlineStr">
        <is>
          <t>Total</t>
        </is>
      </c>
      <c r="H12" s="14" t="inlineStr">
        <is>
          <t>% Done</t>
        </is>
      </c>
    </row>
    <row r="13">
      <c r="A13" t="inlineStr">
        <is>
          <t>TravBotSharp</t>
        </is>
      </c>
      <c r="B13">
        <f>COUNTIF(Backlog!I2:I93,"*TravBotSharp*")</f>
        <v/>
      </c>
      <c r="E13" t="inlineStr">
        <is>
          <t>Phase 0</t>
        </is>
      </c>
      <c r="F13">
        <f>COUNTIFS(Backlog!B2:B93,"Phase 0",Backlog!F2:F93,"Done")</f>
        <v/>
      </c>
      <c r="G13">
        <f>COUNTIF(Backlog!B2:B93,"Phase 0")</f>
        <v/>
      </c>
      <c r="H13" s="16">
        <f>IFERROR(F13/G13,0)</f>
        <v/>
      </c>
    </row>
    <row r="14">
      <c r="A14" t="inlineStr">
        <is>
          <t>Travcotools</t>
        </is>
      </c>
      <c r="B14">
        <f>COUNTIF(Backlog!I2:I93,"*Travcotools*")</f>
        <v/>
      </c>
      <c r="E14" t="inlineStr">
        <is>
          <t>Phase 1</t>
        </is>
      </c>
      <c r="F14">
        <f>COUNTIFS(Backlog!B2:B93,"Phase 1",Backlog!F2:F93,"Done")</f>
        <v/>
      </c>
      <c r="G14">
        <f>COUNTIF(Backlog!B2:B93,"Phase 1")</f>
        <v/>
      </c>
      <c r="H14" s="16">
        <f>IFERROR(F14/G14,0)</f>
        <v/>
      </c>
    </row>
    <row r="15">
      <c r="A15" t="inlineStr">
        <is>
          <t>Travmap</t>
        </is>
      </c>
      <c r="B15">
        <f>COUNTIF(Backlog!I2:I93,"*Travmap*")</f>
        <v/>
      </c>
      <c r="E15" t="inlineStr">
        <is>
          <t>Phase 2</t>
        </is>
      </c>
      <c r="F15">
        <f>COUNTIFS(Backlog!B2:B93,"Phase 2",Backlog!F2:F93,"Done")</f>
        <v/>
      </c>
      <c r="G15">
        <f>COUNTIF(Backlog!B2:B93,"Phase 2")</f>
        <v/>
      </c>
      <c r="H15" s="16">
        <f>IFERROR(F15/G15,0)</f>
        <v/>
      </c>
    </row>
    <row r="16">
      <c r="A16" t="inlineStr">
        <is>
          <t>Gettertools</t>
        </is>
      </c>
      <c r="B16">
        <f>COUNTIF(Backlog!I2:I93,"*Gettertools*")</f>
        <v/>
      </c>
      <c r="E16" t="inlineStr">
        <is>
          <t>Tier A</t>
        </is>
      </c>
      <c r="F16">
        <f>COUNTIFS(Backlog!B2:B93,"Tier A",Backlog!F2:F93,"Done")</f>
        <v/>
      </c>
      <c r="G16">
        <f>COUNTIF(Backlog!B2:B93,"Tier A")</f>
        <v/>
      </c>
      <c r="H16" s="16">
        <f>IFERROR(F16/G16,0)</f>
        <v/>
      </c>
    </row>
    <row r="17">
      <c r="A17" t="inlineStr">
        <is>
          <t>Custom</t>
        </is>
      </c>
      <c r="B17">
        <f>COUNTIF(Backlog!I2:I93,"*Custom*")</f>
        <v/>
      </c>
      <c r="E17" t="inlineStr">
        <is>
          <t>Tier B</t>
        </is>
      </c>
      <c r="F17">
        <f>COUNTIFS(Backlog!B2:B93,"Tier B",Backlog!F2:F93,"Done")</f>
        <v/>
      </c>
      <c r="G17">
        <f>COUNTIF(Backlog!B2:B93,"Tier B")</f>
        <v/>
      </c>
      <c r="H17" s="16">
        <f>IFERROR(F17/G17,0)</f>
        <v/>
      </c>
    </row>
    <row r="18">
      <c r="E18" t="inlineStr">
        <is>
          <t>Tier C</t>
        </is>
      </c>
      <c r="F18">
        <f>COUNTIFS(Backlog!B2:B93,"Tier C",Backlog!F2:F93,"Done")</f>
        <v/>
      </c>
      <c r="G18">
        <f>COUNTIF(Backlog!B2:B93,"Tier C")</f>
        <v/>
      </c>
      <c r="H18" s="16">
        <f>IFERROR(F18/G18,0)</f>
        <v/>
      </c>
    </row>
    <row r="19">
      <c r="E19" t="inlineStr">
        <is>
          <t>Tier D</t>
        </is>
      </c>
      <c r="F19">
        <f>COUNTIFS(Backlog!B2:B93,"Tier D",Backlog!F2:F93,"Done")</f>
        <v/>
      </c>
      <c r="G19">
        <f>COUNTIF(Backlog!B2:B93,"Tier D")</f>
        <v/>
      </c>
      <c r="H19" s="16">
        <f>IFERROR(F19/G19,0)</f>
        <v/>
      </c>
    </row>
    <row r="20">
      <c r="E20" t="inlineStr">
        <is>
          <t>Tier MAP</t>
        </is>
      </c>
      <c r="F20">
        <f>COUNTIFS(Backlog!B2:B93,"Tier MAP",Backlog!F2:F93,"Done")</f>
        <v/>
      </c>
      <c r="G20">
        <f>COUNTIF(Backlog!B2:B93,"Tier MAP")</f>
        <v/>
      </c>
      <c r="H20" s="16">
        <f>IFERROR(F20/G20,0)</f>
        <v/>
      </c>
    </row>
    <row r="21">
      <c r="E21" t="inlineStr">
        <is>
          <t>Tier CALC</t>
        </is>
      </c>
      <c r="F21">
        <f>COUNTIFS(Backlog!B2:B93,"Tier CALC",Backlog!F2:F93,"Done")</f>
        <v/>
      </c>
      <c r="G21">
        <f>COUNTIF(Backlog!B2:B93,"Tier CALC")</f>
        <v/>
      </c>
      <c r="H21" s="16">
        <f>IFERROR(F21/G21,0)</f>
        <v/>
      </c>
    </row>
    <row r="22">
      <c r="E22" t="inlineStr">
        <is>
          <t>Notifications</t>
        </is>
      </c>
      <c r="F22">
        <f>COUNTIFS(Backlog!B2:B93,"Notifications",Backlog!F2:F93,"Done")</f>
        <v/>
      </c>
      <c r="G22">
        <f>COUNTIF(Backlog!B2:B93,"Notifications")</f>
        <v/>
      </c>
      <c r="H22" s="16">
        <f>IFERROR(F22/G22,0)</f>
        <v/>
      </c>
    </row>
    <row r="23">
      <c r="E23" t="inlineStr">
        <is>
          <t>Security</t>
        </is>
      </c>
      <c r="F23">
        <f>COUNTIFS(Backlog!B2:B93,"Security",Backlog!F2:F93,"Done")</f>
        <v/>
      </c>
      <c r="G23">
        <f>COUNTIF(Backlog!B2:B93,"Security")</f>
        <v/>
      </c>
      <c r="H23" s="16">
        <f>IFERROR(F23/G23,0)</f>
        <v/>
      </c>
    </row>
    <row r="24">
      <c r="E24" t="inlineStr">
        <is>
          <t>Reliability</t>
        </is>
      </c>
      <c r="F24">
        <f>COUNTIFS(Backlog!B2:B93,"Reliability",Backlog!F2:F93,"Done")</f>
        <v/>
      </c>
      <c r="G24">
        <f>COUNTIF(Backlog!B2:B93,"Reliability")</f>
        <v/>
      </c>
      <c r="H24" s="16">
        <f>IFERROR(F24/G24,0)</f>
        <v/>
      </c>
    </row>
    <row r="25">
      <c r="E25" t="inlineStr">
        <is>
          <t>Performance</t>
        </is>
      </c>
      <c r="F25">
        <f>COUNTIFS(Backlog!B2:B93,"Performance",Backlog!F2:F93,"Done")</f>
        <v/>
      </c>
      <c r="G25">
        <f>COUNTIF(Backlog!B2:B93,"Performance")</f>
        <v/>
      </c>
      <c r="H25" s="16">
        <f>IFERROR(F25/G25,0)</f>
        <v/>
      </c>
    </row>
    <row r="26">
      <c r="E26" t="inlineStr">
        <is>
          <t>Testing</t>
        </is>
      </c>
      <c r="F26">
        <f>COUNTIFS(Backlog!B2:B93,"Testing",Backlog!F2:F93,"Done")</f>
        <v/>
      </c>
      <c r="G26">
        <f>COUNTIF(Backlog!B2:B93,"Testing")</f>
        <v/>
      </c>
      <c r="H26" s="16">
        <f>IFERROR(F26/G26,0)</f>
        <v/>
      </c>
    </row>
    <row r="27">
      <c r="E27" t="inlineStr">
        <is>
          <t>i18n</t>
        </is>
      </c>
      <c r="F27">
        <f>COUNTIFS(Backlog!B2:B93,"i18n",Backlog!F2:F93,"Done")</f>
        <v/>
      </c>
      <c r="G27">
        <f>COUNTIF(Backlog!B2:B93,"i18n")</f>
        <v/>
      </c>
      <c r="H27" s="16">
        <f>IFERROR(F27/G27,0)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25" t="inlineStr">
        <is>
          <t>ROADMAP.xlsx — Column &amp; Value Legend</t>
        </is>
      </c>
    </row>
    <row r="3">
      <c r="A3" s="26" t="inlineStr">
        <is>
          <t>Status values</t>
        </is>
      </c>
    </row>
    <row r="4">
      <c r="A4" s="27" t="inlineStr">
        <is>
          <t>Value</t>
        </is>
      </c>
      <c r="B4" s="27" t="inlineStr">
        <is>
          <t>Meaning</t>
        </is>
      </c>
    </row>
    <row r="5">
      <c r="A5" s="28" t="inlineStr">
        <is>
          <t>Done</t>
        </is>
      </c>
      <c r="B5" s="29" t="inlineStr">
        <is>
          <t>Implementation complete; in production.</t>
        </is>
      </c>
    </row>
    <row r="6">
      <c r="A6" s="28" t="inlineStr">
        <is>
          <t>In Progress</t>
        </is>
      </c>
      <c r="B6" s="29" t="inlineStr">
        <is>
          <t>Some scaffolding present; not feature-complete.</t>
        </is>
      </c>
    </row>
    <row r="7">
      <c r="A7" s="28" t="inlineStr">
        <is>
          <t>Deferred</t>
        </is>
      </c>
      <c r="B7" s="29" t="inlineStr">
        <is>
          <t>Blocked or intentionally postponed; reason in Notes.</t>
        </is>
      </c>
    </row>
    <row r="8">
      <c r="A8" s="28" t="inlineStr">
        <is>
          <t>Not Started</t>
        </is>
      </c>
      <c r="B8" s="29" t="inlineStr">
        <is>
          <t>Backlog item, not yet picked up.</t>
        </is>
      </c>
    </row>
    <row r="10">
      <c r="A10" s="26" t="inlineStr">
        <is>
          <t>Priority values</t>
        </is>
      </c>
    </row>
    <row r="11">
      <c r="A11" s="27" t="inlineStr">
        <is>
          <t>Value</t>
        </is>
      </c>
      <c r="B11" s="27" t="inlineStr">
        <is>
          <t>Meaning</t>
        </is>
      </c>
    </row>
    <row r="12">
      <c r="A12" s="28" t="inlineStr">
        <is>
          <t>Critical</t>
        </is>
      </c>
      <c r="B12" s="29" t="inlineStr">
        <is>
          <t>Blocks core flow or security; do first.</t>
        </is>
      </c>
    </row>
    <row r="13">
      <c r="A13" s="28" t="inlineStr">
        <is>
          <t>High</t>
        </is>
      </c>
      <c r="B13" s="29" t="inlineStr">
        <is>
          <t>Materially improves UX / safety / coverage.</t>
        </is>
      </c>
    </row>
    <row r="14">
      <c r="A14" s="28" t="inlineStr">
        <is>
          <t>Medium</t>
        </is>
      </c>
      <c r="B14" s="29" t="inlineStr">
        <is>
          <t>Quality-of-life or strategic edge.</t>
        </is>
      </c>
    </row>
    <row r="15">
      <c r="A15" s="28" t="inlineStr">
        <is>
          <t>Low</t>
        </is>
      </c>
      <c r="B15" s="29" t="inlineStr">
        <is>
          <t>Nice-to-have / polish.</t>
        </is>
      </c>
    </row>
    <row r="17">
      <c r="A17" s="26" t="inlineStr">
        <is>
          <t>Effort values</t>
        </is>
      </c>
    </row>
    <row r="18">
      <c r="A18" s="27" t="inlineStr">
        <is>
          <t>Value</t>
        </is>
      </c>
      <c r="B18" s="27" t="inlineStr">
        <is>
          <t>Meaning</t>
        </is>
      </c>
    </row>
    <row r="19">
      <c r="A19" s="28" t="inlineStr">
        <is>
          <t>S</t>
        </is>
      </c>
      <c r="B19" s="29" t="inlineStr">
        <is>
          <t>Small  (≤ 1 day)</t>
        </is>
      </c>
    </row>
    <row r="20">
      <c r="A20" s="28" t="inlineStr">
        <is>
          <t>M</t>
        </is>
      </c>
      <c r="B20" s="29" t="inlineStr">
        <is>
          <t>Medium (1–3 days)</t>
        </is>
      </c>
    </row>
    <row r="21">
      <c r="A21" s="28" t="inlineStr">
        <is>
          <t>L</t>
        </is>
      </c>
      <c r="B21" s="29" t="inlineStr">
        <is>
          <t>Large  (3–7 days)</t>
        </is>
      </c>
    </row>
    <row r="22">
      <c r="A22" s="28" t="inlineStr">
        <is>
          <t>XL</t>
        </is>
      </c>
      <c r="B22" s="29" t="inlineStr">
        <is>
          <t>Extra Large (&gt; 1 week)</t>
        </is>
      </c>
    </row>
    <row r="24">
      <c r="A24" s="26" t="inlineStr">
        <is>
          <t>Inspired By values</t>
        </is>
      </c>
    </row>
    <row r="25">
      <c r="A25" s="27" t="inlineStr">
        <is>
          <t>Value</t>
        </is>
      </c>
      <c r="B25" s="27" t="inlineStr">
        <is>
          <t>Meaning</t>
        </is>
      </c>
    </row>
    <row r="26">
      <c r="A26" s="28" t="inlineStr">
        <is>
          <t>TravBotSharp</t>
        </is>
      </c>
      <c r="B26" s="29" t="inlineStr">
        <is>
          <t>Local desktop bot — autoplay parity.</t>
        </is>
      </c>
    </row>
    <row r="27">
      <c r="A27" s="28" t="inlineStr">
        <is>
          <t>Travcotools</t>
        </is>
      </c>
      <c r="B27" s="29" t="inlineStr">
        <is>
          <t>Cloud planner — attack/defense/intel parity.</t>
        </is>
      </c>
    </row>
    <row r="28">
      <c r="A28" s="28" t="inlineStr">
        <is>
          <t>Gettertools</t>
        </is>
      </c>
      <c r="B28" s="29" t="inlineStr">
        <is>
          <t>Pure calculators — troop/travel/cost lookup.</t>
        </is>
      </c>
    </row>
    <row r="29">
      <c r="A29" s="28" t="inlineStr">
        <is>
          <t>Travmap</t>
        </is>
      </c>
      <c r="B29" s="29" t="inlineStr">
        <is>
          <t>Interactive world map viewer.</t>
        </is>
      </c>
    </row>
    <row r="30">
      <c r="A30" s="28" t="inlineStr">
        <is>
          <t>Custom</t>
        </is>
      </c>
      <c r="B30" s="29" t="inlineStr">
        <is>
          <t>Original idea not present in inspirations.</t>
        </is>
      </c>
    </row>
    <row r="31">
      <c r="A31" s="28" t="inlineStr">
        <is>
          <t>Travian</t>
        </is>
      </c>
      <c r="B31" s="29" t="inlineStr">
        <is>
          <t>Mirrors a stock feature of the game itself.</t>
        </is>
      </c>
    </row>
    <row r="33">
      <c r="A33" s="26" t="inlineStr">
        <is>
          <t>Workflow</t>
        </is>
      </c>
    </row>
    <row r="34">
      <c r="A34" s="27" t="inlineStr">
        <is>
          <t>Value</t>
        </is>
      </c>
      <c r="B34" s="27" t="inlineStr">
        <is>
          <t>Meaning</t>
        </is>
      </c>
    </row>
    <row r="35">
      <c r="A35" s="28" t="inlineStr">
        <is>
          <t>Add new item</t>
        </is>
      </c>
      <c r="B35" s="29" t="inlineStr">
        <is>
          <t>Append a row in Backlog; ID convention: &lt;Phase&gt;.&lt;number&gt; or &lt;Tier&gt;&lt;number&gt;.</t>
        </is>
      </c>
    </row>
    <row r="36">
      <c r="A36" s="28" t="inlineStr">
        <is>
          <t>Update status</t>
        </is>
      </c>
      <c r="B36" s="29" t="inlineStr">
        <is>
          <t>Change the Status cell; Summary recalculates on save (LibreOffice / Excel).</t>
        </is>
      </c>
    </row>
    <row r="37">
      <c r="A37" s="28" t="inlineStr">
        <is>
          <t>Mark blocked</t>
        </is>
      </c>
      <c r="B37" s="29" t="inlineStr">
        <is>
          <t>Set Status=Deferred and explain in Notes.</t>
        </is>
      </c>
    </row>
    <row r="38">
      <c r="A38" s="28" t="inlineStr">
        <is>
          <t>Track dependency</t>
        </is>
      </c>
      <c r="B38" s="29" t="inlineStr">
        <is>
          <t>List the blocking IDs comma-separated in Dependencies.</t>
        </is>
      </c>
    </row>
  </sheetData>
  <mergeCells count="33">
    <mergeCell ref="B7:C7"/>
    <mergeCell ref="B25:C25"/>
    <mergeCell ref="B22:C22"/>
    <mergeCell ref="A3:C3"/>
    <mergeCell ref="B31:C31"/>
    <mergeCell ref="B27:C27"/>
    <mergeCell ref="B18:C18"/>
    <mergeCell ref="B12:C12"/>
    <mergeCell ref="B21:C21"/>
    <mergeCell ref="A33:C33"/>
    <mergeCell ref="B11:C11"/>
    <mergeCell ref="A17:C17"/>
    <mergeCell ref="B14:C14"/>
    <mergeCell ref="B8:C8"/>
    <mergeCell ref="A10:C10"/>
    <mergeCell ref="B13:C13"/>
    <mergeCell ref="B38:C38"/>
    <mergeCell ref="B29:C29"/>
    <mergeCell ref="B19:C19"/>
    <mergeCell ref="B34:C34"/>
    <mergeCell ref="B37:C37"/>
    <mergeCell ref="B28:C28"/>
    <mergeCell ref="A24:C24"/>
    <mergeCell ref="B6:C6"/>
    <mergeCell ref="B30:C30"/>
    <mergeCell ref="B15:C15"/>
    <mergeCell ref="A1:C1"/>
    <mergeCell ref="B5:C5"/>
    <mergeCell ref="B20:C20"/>
    <mergeCell ref="B36:C36"/>
    <mergeCell ref="B26:C26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2026-06-24T10:23:00Z</dcterms:created>
  <dcterms:modified xmlns:dcterms="http://purl.org/dc/terms/" xmlns:xsi="http://www.w3.org/2001/XMLSchema-instance" xsi:type="dcterms:W3CDTF">2026-07-12T08:24:57Z</dcterms:modified>
</cp:coreProperties>
</file>